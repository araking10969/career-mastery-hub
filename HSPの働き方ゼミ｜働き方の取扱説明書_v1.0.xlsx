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はじめに・使い方" sheetId="1" state="visible" r:id="rId1"/>
    <sheet xmlns:r="http://schemas.openxmlformats.org/officeDocument/2006/relationships" name="01_働き方セルフチェック" sheetId="2" state="visible" r:id="rId2"/>
    <sheet xmlns:r="http://schemas.openxmlformats.org/officeDocument/2006/relationships" name="02_消耗ポイント" sheetId="3" state="visible" r:id="rId3"/>
    <sheet xmlns:r="http://schemas.openxmlformats.org/officeDocument/2006/relationships" name="03_働きやすい条件" sheetId="4" state="visible" r:id="rId4"/>
    <sheet xmlns:r="http://schemas.openxmlformats.org/officeDocument/2006/relationships" name="04_頑張りすぎパターン" sheetId="5" state="visible" r:id="rId5"/>
    <sheet xmlns:r="http://schemas.openxmlformats.org/officeDocument/2006/relationships" name="05_変えられること・変えられないこと" sheetId="6" state="visible" r:id="rId6"/>
    <sheet xmlns:r="http://schemas.openxmlformats.org/officeDocument/2006/relationships" name="06_仕事の境界線" sheetId="7" state="visible" r:id="rId7"/>
    <sheet xmlns:r="http://schemas.openxmlformats.org/officeDocument/2006/relationships" name="07_相談ルート" sheetId="8" state="visible" r:id="rId8"/>
    <sheet xmlns:r="http://schemas.openxmlformats.org/officeDocument/2006/relationships" name="08_残る・転職する判断基準" sheetId="9" state="visible" r:id="rId9"/>
    <sheet xmlns:r="http://schemas.openxmlformats.org/officeDocument/2006/relationships" name="09_Must・Want・NG" sheetId="10" state="visible" r:id="rId10"/>
    <sheet xmlns:r="http://schemas.openxmlformats.org/officeDocument/2006/relationships" name="10_90日行動計画" sheetId="11" state="visible" r:id="rId11"/>
    <sheet xmlns:r="http://schemas.openxmlformats.org/officeDocument/2006/relationships" name="11_私の働き方の取扱説明書" sheetId="12" state="visible" r:id="rId12"/>
  </sheets>
  <definedNames>
    <definedName name="_xlnm.Print_Area" localSheetId="0">'00_はじめに・使い方'!$A$1:$I$55</definedName>
    <definedName name="_xlnm.Print_Area" localSheetId="11">'11_私の働き方の取扱説明書'!$A$1:$G$62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5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333333"/>
      <sz val="11"/>
    </font>
    <font>
      <name val="Arial"/>
      <color rgb="00333333"/>
      <sz val="10"/>
    </font>
    <font>
      <name val="Arial"/>
      <b val="1"/>
      <color rgb="00333333"/>
      <sz val="9"/>
    </font>
    <font>
      <name val="Arial"/>
      <b val="1"/>
      <color rgb="006B6B6B"/>
      <sz val="9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333333"/>
      <sz val="9"/>
    </font>
    <font>
      <name val="Arial"/>
      <i val="1"/>
      <color rgb="006B6B6B"/>
      <sz val="10"/>
    </font>
    <font>
      <name val="Arial"/>
      <b val="1"/>
      <color rgb="00333333"/>
      <sz val="10"/>
    </font>
    <font>
      <name val="Arial"/>
      <b val="1"/>
      <color rgb="00FFFFFF"/>
      <sz val="12"/>
    </font>
    <font>
      <name val="Arial"/>
      <color rgb="00555555"/>
      <sz val="9.5"/>
    </font>
    <font>
      <name val="Arial"/>
      <b val="1"/>
      <color rgb="00A0412A"/>
      <sz val="9.5"/>
    </font>
    <font>
      <name val="Arial"/>
      <color rgb="00555555"/>
      <sz val="9"/>
    </font>
    <font>
      <name val="Arial"/>
      <color rgb="006B6B6B"/>
      <sz val="10"/>
    </font>
    <font>
      <name val="Arial"/>
      <color rgb="006B6B6B"/>
      <sz val="9.5"/>
    </font>
    <font>
      <name val="Arial"/>
      <b val="1"/>
      <color rgb="00333333"/>
      <sz val="12"/>
    </font>
    <font>
      <name val="Arial"/>
      <b val="1"/>
      <color rgb="001F5F63"/>
      <sz val="10"/>
    </font>
    <font>
      <name val="Arial"/>
      <b val="1"/>
      <color rgb="00B5523B"/>
      <sz val="10"/>
    </font>
    <font>
      <name val="Arial"/>
      <b val="1"/>
      <color rgb="00FFFFFF"/>
      <sz val="18"/>
    </font>
    <font>
      <name val="Arial"/>
      <color rgb="005A2A1E"/>
      <sz val="10.5"/>
    </font>
    <font>
      <name val="Arial"/>
      <b val="1"/>
      <color rgb="00B5523B"/>
      <sz val="13"/>
    </font>
    <font>
      <name val="Arial"/>
      <b val="1"/>
      <color rgb="007A4A1E"/>
      <sz val="11"/>
    </font>
    <font>
      <name val="Arial"/>
      <b val="1"/>
      <color rgb="00FFFFFF"/>
      <sz val="20"/>
    </font>
    <font>
      <name val="Arial"/>
      <color rgb="00D9ECEC"/>
      <sz val="9.5"/>
    </font>
    <font>
      <name val="Arial"/>
      <color rgb="00333333"/>
      <sz val="11"/>
    </font>
    <font>
      <name val="Arial"/>
      <color rgb="00777777"/>
      <sz val="8.5"/>
    </font>
    <font>
      <name val="Arial"/>
      <b val="1"/>
      <color rgb="00FFFFFF"/>
      <sz val="11"/>
    </font>
    <font>
      <name val="Arial"/>
      <b val="1"/>
      <color rgb="003E6E9E"/>
      <sz val="10"/>
    </font>
    <font>
      <name val="Arial"/>
      <b val="1"/>
      <color rgb="004F8A6B"/>
      <sz val="10"/>
    </font>
    <font>
      <name val="Arial"/>
      <b val="1"/>
      <color rgb="00333333"/>
      <sz val="10.5"/>
    </font>
    <font>
      <name val="Arial"/>
      <b val="1"/>
      <color rgb="004F8A6B"/>
      <sz val="9"/>
    </font>
    <font>
      <name val="Arial"/>
      <b val="1"/>
      <color rgb="00C47A35"/>
      <sz val="10"/>
    </font>
    <font>
      <name val="Arial"/>
      <b val="1"/>
      <color rgb="00C47A35"/>
      <sz val="9"/>
    </font>
    <font>
      <name val="Arial"/>
      <b val="1"/>
      <color rgb="007A4A1E"/>
      <sz val="9"/>
    </font>
    <font>
      <name val="Arial"/>
      <color rgb="00999999"/>
      <sz val="8.5"/>
    </font>
    <font>
      <name val="Arial"/>
      <color rgb="00777777"/>
      <sz val="9"/>
    </font>
    <font>
      <name val="Arial"/>
      <b val="1"/>
      <color rgb="00E6F3F3"/>
      <sz val="12"/>
    </font>
    <font>
      <name val="Arial"/>
      <b val="1"/>
      <color rgb="00FFFFFF"/>
      <sz val="24"/>
    </font>
    <font>
      <name val="Arial"/>
      <color rgb="00FFFFFF"/>
      <sz val="11.5"/>
    </font>
    <font>
      <name val="Arial"/>
      <b val="1"/>
      <color rgb="00A0412A"/>
      <sz val="11"/>
    </font>
    <font>
      <name val="Arial"/>
      <b val="1"/>
      <color rgb="003E6E9E"/>
      <sz val="9.5"/>
    </font>
    <font>
      <name val="Arial"/>
      <b val="1"/>
      <color rgb="003E6E9E"/>
      <sz val="9"/>
    </font>
    <font>
      <name val="Arial"/>
      <b val="1"/>
      <color rgb="009AAEB5"/>
      <sz val="16"/>
    </font>
    <font>
      <name val="Arial"/>
      <b val="1"/>
      <color rgb="004F8A6B"/>
      <sz val="9.5"/>
    </font>
    <font>
      <name val="Arial"/>
      <b val="1"/>
      <color rgb="00C47A35"/>
      <sz val="9.5"/>
    </font>
    <font>
      <name val="Arial"/>
      <b val="1"/>
      <color rgb="001F5F63"/>
      <sz val="9.5"/>
    </font>
    <font>
      <name val="Arial"/>
      <b val="1"/>
      <color rgb="001F5F63"/>
      <sz val="9"/>
    </font>
    <font>
      <name val="Arial"/>
      <color rgb="00333333"/>
      <sz val="9.5"/>
    </font>
    <font>
      <name val="Arial"/>
      <b val="1"/>
      <color rgb="003A8C8C"/>
      <sz val="11"/>
    </font>
    <font>
      <name val="Arial"/>
      <b val="1"/>
      <color rgb="006B6B6B"/>
      <sz val="10"/>
    </font>
    <font>
      <name val="Arial"/>
      <b val="1"/>
      <color rgb="00A0412A"/>
      <sz val="10"/>
    </font>
  </fonts>
  <fills count="29">
    <fill>
      <patternFill/>
    </fill>
    <fill>
      <patternFill patternType="gray125"/>
    </fill>
    <fill>
      <patternFill patternType="solid">
        <fgColor rgb="003E6E9E"/>
        <bgColor rgb="003E6E9E"/>
      </patternFill>
    </fill>
    <fill>
      <patternFill patternType="solid">
        <fgColor rgb="00DCE8F3"/>
        <bgColor rgb="00DCE8F3"/>
      </patternFill>
    </fill>
    <fill>
      <patternFill patternType="solid">
        <fgColor rgb="00FFFFFF"/>
        <bgColor rgb="00FFFFFF"/>
      </patternFill>
    </fill>
    <fill>
      <patternFill patternType="solid">
        <fgColor rgb="00FFF9DB"/>
        <bgColor rgb="00FFF9DB"/>
      </patternFill>
    </fill>
    <fill>
      <patternFill patternType="solid">
        <fgColor rgb="00EEEEEE"/>
        <bgColor rgb="00EEEEEE"/>
      </patternFill>
    </fill>
    <fill>
      <patternFill patternType="solid">
        <fgColor rgb="007F9DB9"/>
        <bgColor rgb="007F9DB9"/>
      </patternFill>
    </fill>
    <fill>
      <patternFill patternType="solid">
        <fgColor rgb="00F5F7F8"/>
        <bgColor rgb="00F5F7F8"/>
      </patternFill>
    </fill>
    <fill>
      <patternFill patternType="solid">
        <fgColor rgb="00FDECE4"/>
        <bgColor rgb="00FDECE4"/>
      </patternFill>
    </fill>
    <fill>
      <patternFill patternType="solid">
        <fgColor rgb="004F8A6B"/>
        <bgColor rgb="004F8A6B"/>
      </patternFill>
    </fill>
    <fill>
      <patternFill patternType="solid">
        <fgColor rgb="00E1F0E6"/>
        <bgColor rgb="00E1F0E6"/>
      </patternFill>
    </fill>
    <fill>
      <patternFill patternType="solid">
        <fgColor rgb="003E7A5A"/>
        <bgColor rgb="003E7A5A"/>
      </patternFill>
    </fill>
    <fill>
      <patternFill patternType="solid">
        <fgColor rgb="006FA387"/>
        <bgColor rgb="006FA387"/>
      </patternFill>
    </fill>
    <fill>
      <patternFill patternType="solid">
        <fgColor rgb="008C9A93"/>
        <bgColor rgb="008C9A93"/>
      </patternFill>
    </fill>
    <fill>
      <patternFill patternType="solid">
        <fgColor rgb="00C47A35"/>
        <bgColor rgb="00C47A35"/>
      </patternFill>
    </fill>
    <fill>
      <patternFill patternType="solid">
        <fgColor rgb="00FBEBD9"/>
        <bgColor rgb="00FBEBD9"/>
      </patternFill>
    </fill>
    <fill>
      <patternFill patternType="solid">
        <fgColor rgb="001F5F63"/>
        <bgColor rgb="001F5F63"/>
      </patternFill>
    </fill>
    <fill>
      <patternFill patternType="solid">
        <fgColor rgb="00B5523B"/>
        <bgColor rgb="00B5523B"/>
      </patternFill>
    </fill>
    <fill>
      <patternFill patternType="solid">
        <fgColor rgb="00D6E8E8"/>
        <bgColor rgb="00D6E8E8"/>
      </patternFill>
    </fill>
    <fill>
      <patternFill patternType="solid">
        <fgColor rgb="00FBE3DC"/>
        <bgColor rgb="00FBE3DC"/>
      </patternFill>
    </fill>
    <fill>
      <patternFill patternType="solid">
        <fgColor rgb="009C4632"/>
        <bgColor rgb="009C4632"/>
      </patternFill>
    </fill>
    <fill>
      <patternFill patternType="solid">
        <fgColor rgb="00D08F52"/>
        <bgColor rgb="00D08F52"/>
      </patternFill>
    </fill>
    <fill>
      <patternFill patternType="solid">
        <fgColor rgb="00E4F0F0"/>
        <bgColor rgb="00E4F0F0"/>
      </patternFill>
    </fill>
    <fill>
      <patternFill patternType="solid">
        <fgColor rgb="003A8C8C"/>
        <bgColor rgb="003A8C8C"/>
      </patternFill>
    </fill>
    <fill>
      <patternFill patternType="solid">
        <fgColor rgb="00E3F1F1"/>
        <bgColor rgb="00E3F1F1"/>
      </patternFill>
    </fill>
    <fill>
      <patternFill patternType="solid">
        <fgColor rgb="00C97A64"/>
        <bgColor rgb="00C97A64"/>
      </patternFill>
    </fill>
    <fill>
      <patternFill patternType="solid">
        <fgColor rgb="007F8C8D"/>
        <bgColor rgb="007F8C8D"/>
      </patternFill>
    </fill>
    <fill>
      <patternFill patternType="solid">
        <fgColor rgb="0095A5A6"/>
        <bgColor rgb="0095A5A6"/>
      </patternFill>
    </fill>
  </fills>
  <borders count="35">
    <border>
      <left/>
      <right/>
      <top/>
      <bottom/>
      <diagonal/>
    </border>
    <border/>
    <border>
      <left style="thin">
        <color rgb="00BFC8CF"/>
      </left>
      <right style="thin">
        <color rgb="00BFC8CF"/>
      </right>
      <top style="thin">
        <color rgb="00BFC8CF"/>
      </top>
      <bottom style="thin">
        <color rgb="00BFC8CF"/>
      </bottom>
    </border>
    <border>
      <left/>
      <right/>
      <top style="thin">
        <color rgb="00BFC8CF"/>
      </top>
      <bottom/>
      <diagonal/>
    </border>
    <border>
      <left/>
      <right style="thin">
        <color rgb="00BFC8CF"/>
      </right>
      <top style="thin">
        <color rgb="00BFC8CF"/>
      </top>
      <bottom/>
      <diagonal/>
    </border>
    <border>
      <left/>
      <right style="thin">
        <color rgb="00BFC8CF"/>
      </right>
      <top style="thin">
        <color rgb="00BFC8CF"/>
      </top>
      <bottom style="thin">
        <color rgb="00BFC8CF"/>
      </bottom>
      <diagonal/>
    </border>
    <border>
      <left/>
      <right/>
      <top style="thin">
        <color rgb="00BFC8CF"/>
      </top>
      <bottom style="thin">
        <color rgb="00BFC8CF"/>
      </bottom>
      <diagonal/>
    </border>
    <border>
      <left style="thin">
        <color rgb="00BFC8CF"/>
      </left>
      <right/>
      <top/>
      <bottom/>
      <diagonal/>
    </border>
    <border>
      <left style="thin">
        <color rgb="00BFC8CF"/>
      </left>
      <right style="thin">
        <color rgb="00BFC8CF"/>
      </right>
      <top/>
      <bottom/>
      <diagonal/>
    </border>
    <border>
      <left style="thin">
        <color rgb="00BFC8CF"/>
      </left>
      <right style="thin">
        <color rgb="00BFC8CF"/>
      </right>
      <top/>
      <bottom style="thin">
        <color rgb="00BFC8CF"/>
      </bottom>
      <diagonal/>
    </border>
    <border>
      <left style="medium">
        <color rgb="00B5523B"/>
      </left>
      <top style="medium">
        <color rgb="00B5523B"/>
      </top>
    </border>
    <border>
      <left/>
      <right/>
      <top style="medium">
        <color rgb="00B5523B"/>
      </top>
      <bottom/>
    </border>
    <border>
      <left/>
      <right style="medium">
        <color rgb="00B5523B"/>
      </right>
      <top style="medium">
        <color rgb="00B5523B"/>
      </top>
      <bottom/>
    </border>
    <border>
      <left style="medium">
        <color rgb="00B5523B"/>
      </left>
    </border>
    <border>
      <left/>
      <right/>
      <top/>
      <bottom/>
    </border>
    <border>
      <left/>
      <right style="medium">
        <color rgb="00B5523B"/>
      </right>
      <top/>
      <bottom/>
    </border>
    <border>
      <left style="medium">
        <color rgb="00B5523B"/>
      </left>
      <right style="thin">
        <color rgb="00BFC8CF"/>
      </right>
      <top style="thin">
        <color rgb="00BFC8CF"/>
      </top>
      <bottom style="thin">
        <color rgb="00BFC8CF"/>
      </bottom>
    </border>
    <border>
      <left/>
      <right style="thin">
        <color rgb="00BFC8CF"/>
      </right>
      <top style="thin">
        <color rgb="00BFC8CF"/>
      </top>
      <bottom style="thin">
        <color rgb="00BFC8CF"/>
      </bottom>
    </border>
    <border>
      <left style="thin">
        <color rgb="00BFC8CF"/>
      </left>
      <right style="medium">
        <color rgb="00B5523B"/>
      </right>
      <top style="thin">
        <color rgb="00BFC8CF"/>
      </top>
      <bottom style="thin">
        <color rgb="00BFC8CF"/>
      </bottom>
    </border>
    <border>
      <left style="medium">
        <color rgb="00B5523B"/>
      </left>
      <right style="thin">
        <color rgb="00BFC8CF"/>
      </right>
      <top style="thin">
        <color rgb="00BFC8CF"/>
      </top>
      <bottom style="medium">
        <color rgb="00B5523B"/>
      </bottom>
    </border>
    <border>
      <left style="thin">
        <color rgb="00BFC8CF"/>
      </left>
      <right style="thin">
        <color rgb="00BFC8CF"/>
      </right>
      <top style="thin">
        <color rgb="00BFC8CF"/>
      </top>
      <bottom style="medium">
        <color rgb="00B5523B"/>
      </bottom>
    </border>
    <border>
      <left/>
      <right style="thin">
        <color rgb="00BFC8CF"/>
      </right>
      <top style="thin">
        <color rgb="00BFC8CF"/>
      </top>
      <bottom style="medium">
        <color rgb="00B5523B"/>
      </bottom>
    </border>
    <border>
      <left style="thin">
        <color rgb="00BFC8CF"/>
      </left>
      <right style="medium">
        <color rgb="00B5523B"/>
      </right>
      <top style="thin">
        <color rgb="00BFC8CF"/>
      </top>
      <bottom style="medium">
        <color rgb="00B5523B"/>
      </bottom>
    </border>
    <border>
      <left style="medium">
        <color rgb="00B5523B"/>
      </left>
      <right style="thin">
        <color rgb="00BFC8CF"/>
      </right>
      <top style="medium">
        <color rgb="00B5523B"/>
      </top>
      <bottom style="thin">
        <color rgb="00BFC8CF"/>
      </bottom>
    </border>
    <border>
      <left/>
      <right/>
      <top style="medium">
        <color rgb="00B5523B"/>
      </top>
      <bottom style="thin">
        <color rgb="00BFC8CF"/>
      </bottom>
    </border>
    <border>
      <left/>
      <right style="medium">
        <color rgb="00B5523B"/>
      </right>
      <top style="medium">
        <color rgb="00B5523B"/>
      </top>
      <bottom style="thin">
        <color rgb="00BFC8CF"/>
      </bottom>
    </border>
    <border>
      <left/>
      <right/>
      <top/>
      <bottom style="medium">
        <color rgb="00B5523B"/>
      </bottom>
    </border>
    <border>
      <left style="medium">
        <color rgb="00E3A58C"/>
      </left>
      <right style="medium">
        <color rgb="00E3A58C"/>
      </right>
      <top style="medium">
        <color rgb="00E3A58C"/>
      </top>
      <bottom style="medium">
        <color rgb="00E3A58C"/>
      </bottom>
    </border>
    <border>
      <left/>
      <right/>
      <top style="medium">
        <color rgb="00E3A58C"/>
      </top>
      <bottom/>
      <diagonal/>
    </border>
    <border>
      <left/>
      <right style="medium">
        <color rgb="00E3A58C"/>
      </right>
      <top style="medium">
        <color rgb="00E3A58C"/>
      </top>
      <bottom/>
      <diagonal/>
    </border>
    <border>
      <left/>
      <right/>
      <top style="medium">
        <color rgb="00E3A58C"/>
      </top>
      <bottom style="medium">
        <color rgb="00E3A58C"/>
      </bottom>
      <diagonal/>
    </border>
    <border>
      <left/>
      <right style="medium">
        <color rgb="00E3A58C"/>
      </right>
      <top style="medium">
        <color rgb="00E3A58C"/>
      </top>
      <bottom style="medium">
        <color rgb="00E3A58C"/>
      </bottom>
      <diagonal/>
    </border>
    <border>
      <left style="medium">
        <color rgb="00E3A58C"/>
      </left>
      <top style="medium">
        <color rgb="00E3A58C"/>
      </top>
      <bottom style="medium">
        <color rgb="00E3A58C"/>
      </bottom>
    </border>
    <border>
      <top style="medium">
        <color rgb="00E3A58C"/>
      </top>
      <bottom style="medium">
        <color rgb="00E3A58C"/>
      </bottom>
    </border>
    <border>
      <right style="medium">
        <color rgb="00E3A58C"/>
      </right>
      <top style="medium">
        <color rgb="00E3A58C"/>
      </top>
      <bottom style="medium">
        <color rgb="00E3A58C"/>
      </bottom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37" fillId="0" borderId="1" applyAlignment="1" pivotButton="0" quotePrefix="0" xfId="0">
      <alignment horizontal="right" vertical="center" wrapText="1"/>
    </xf>
    <xf numFmtId="0" fontId="38" fillId="24" borderId="1" applyAlignment="1" pivotButton="0" quotePrefix="0" xfId="0">
      <alignment horizontal="center" vertical="center" wrapText="1"/>
    </xf>
    <xf numFmtId="0" fontId="39" fillId="24" borderId="1" applyAlignment="1" pivotButton="0" quotePrefix="0" xfId="0">
      <alignment horizontal="center" vertical="center" wrapText="1"/>
    </xf>
    <xf numFmtId="0" fontId="40" fillId="24" borderId="1" applyAlignment="1" pivotButton="0" quotePrefix="0" xfId="0">
      <alignment horizontal="center" vertical="center" wrapText="1"/>
    </xf>
    <xf numFmtId="0" fontId="26" fillId="25" borderId="1" applyAlignment="1" pivotButton="0" quotePrefix="0" xfId="0">
      <alignment horizontal="center" vertical="center" wrapText="1"/>
    </xf>
    <xf numFmtId="0" fontId="41" fillId="9" borderId="32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6" fillId="0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left" vertical="center" wrapText="1" indent="1"/>
    </xf>
    <xf numFmtId="0" fontId="28" fillId="2" borderId="2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center" vertical="center" wrapText="1"/>
    </xf>
    <xf numFmtId="0" fontId="28" fillId="10" borderId="2" applyAlignment="1" pivotButton="0" quotePrefix="0" xfId="0">
      <alignment horizontal="center" vertical="center" wrapText="1"/>
    </xf>
    <xf numFmtId="0" fontId="28" fillId="15" borderId="2" applyAlignment="1" pivotButton="0" quotePrefix="0" xfId="0">
      <alignment horizontal="center" vertical="center" wrapText="1"/>
    </xf>
    <xf numFmtId="0" fontId="28" fillId="17" borderId="2" applyAlignment="1" pivotButton="0" quotePrefix="0" xfId="0">
      <alignment horizontal="center" vertical="center" wrapText="1"/>
    </xf>
    <xf numFmtId="0" fontId="42" fillId="3" borderId="2" applyAlignment="1" pivotButton="0" quotePrefix="0" xfId="0">
      <alignment horizontal="center" vertical="center" wrapText="1"/>
    </xf>
    <xf numFmtId="0" fontId="45" fillId="11" borderId="2" applyAlignment="1" pivotButton="0" quotePrefix="0" xfId="0">
      <alignment horizontal="center" vertical="center" wrapText="1"/>
    </xf>
    <xf numFmtId="0" fontId="46" fillId="16" borderId="2" applyAlignment="1" pivotButton="0" quotePrefix="0" xfId="0">
      <alignment horizontal="center" vertical="center" wrapText="1"/>
    </xf>
    <xf numFmtId="0" fontId="47" fillId="2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top" wrapText="1"/>
    </xf>
    <xf numFmtId="0" fontId="43" fillId="3" borderId="2" applyAlignment="1" pivotButton="0" quotePrefix="0" xfId="0">
      <alignment horizontal="center" vertical="center" wrapText="1"/>
    </xf>
    <xf numFmtId="0" fontId="32" fillId="11" borderId="2" applyAlignment="1" pivotButton="0" quotePrefix="0" xfId="0">
      <alignment horizontal="center" vertical="center" wrapText="1"/>
    </xf>
    <xf numFmtId="0" fontId="34" fillId="16" borderId="2" applyAlignment="1" pivotButton="0" quotePrefix="0" xfId="0">
      <alignment horizontal="center" vertical="center" wrapText="1"/>
    </xf>
    <xf numFmtId="0" fontId="48" fillId="23" borderId="2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 indent="1"/>
    </xf>
    <xf numFmtId="0" fontId="7" fillId="2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0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49" fillId="4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16" borderId="2" applyAlignment="1" pivotButton="0" quotePrefix="0" xfId="0">
      <alignment horizontal="center" vertical="center" wrapText="1"/>
    </xf>
    <xf numFmtId="0" fontId="10" fillId="23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50" fillId="2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 indent="1"/>
    </xf>
    <xf numFmtId="0" fontId="51" fillId="6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 indent="1"/>
    </xf>
    <xf numFmtId="0" fontId="11" fillId="26" borderId="1" applyAlignment="1" pivotButton="0" quotePrefix="0" xfId="0">
      <alignment horizontal="left" vertical="center" wrapText="1" indent="1"/>
    </xf>
    <xf numFmtId="0" fontId="52" fillId="9" borderId="2" applyAlignment="1" pivotButton="0" quotePrefix="0" xfId="0">
      <alignment horizontal="left" vertical="center" wrapText="1" indent="1"/>
    </xf>
    <xf numFmtId="0" fontId="11" fillId="27" borderId="1" applyAlignment="1" pivotButton="0" quotePrefix="0" xfId="0">
      <alignment horizontal="left" vertical="center" wrapText="1" indent="1"/>
    </xf>
    <xf numFmtId="0" fontId="7" fillId="28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6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7" fillId="2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center" wrapText="1" indent="1"/>
    </xf>
    <xf numFmtId="0" fontId="12" fillId="8" borderId="1" applyAlignment="1" pivotButton="0" quotePrefix="0" xfId="0">
      <alignment horizontal="left" vertical="center" wrapText="1" indent="1"/>
    </xf>
    <xf numFmtId="0" fontId="13" fillId="9" borderId="1" applyAlignment="1" pivotButton="0" quotePrefix="0" xfId="0">
      <alignment horizontal="left" vertical="center" wrapText="1" indent="1"/>
    </xf>
    <xf numFmtId="0" fontId="9" fillId="6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 indent="1"/>
    </xf>
    <xf numFmtId="0" fontId="15" fillId="6" borderId="2" applyAlignment="1" pivotButton="0" quotePrefix="0" xfId="0">
      <alignment horizontal="left" vertical="center" wrapText="1" indent="1"/>
    </xf>
    <xf numFmtId="0" fontId="1" fillId="10" borderId="1" applyAlignment="1" pivotButton="0" quotePrefix="0" xfId="0">
      <alignment horizontal="left" vertical="center" wrapText="1" indent="1"/>
    </xf>
    <xf numFmtId="0" fontId="2" fillId="11" borderId="1" applyAlignment="1" pivotButton="0" quotePrefix="0" xfId="0">
      <alignment horizontal="left" vertical="center" wrapText="1" indent="1"/>
    </xf>
    <xf numFmtId="0" fontId="16" fillId="6" borderId="2" applyAlignment="1" pivotButton="0" quotePrefix="0" xfId="0">
      <alignment horizontal="left" vertical="center" wrapText="1" indent="1"/>
    </xf>
    <xf numFmtId="0" fontId="7" fillId="10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 indent="1"/>
    </xf>
    <xf numFmtId="0" fontId="2" fillId="11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11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10" fillId="11" borderId="2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left" vertical="center" wrapText="1" indent="1"/>
    </xf>
    <xf numFmtId="0" fontId="2" fillId="16" borderId="1" applyAlignment="1" pivotButton="0" quotePrefix="0" xfId="0">
      <alignment horizontal="left" vertical="center" wrapText="1" indent="1"/>
    </xf>
    <xf numFmtId="0" fontId="7" fillId="15" borderId="2" applyAlignment="1" pivotButton="0" quotePrefix="0" xfId="0">
      <alignment horizontal="center" vertical="center" wrapText="1"/>
    </xf>
    <xf numFmtId="0" fontId="10" fillId="16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 indent="1"/>
    </xf>
    <xf numFmtId="0" fontId="2" fillId="16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left" vertical="center" wrapText="1" indent="1"/>
    </xf>
    <xf numFmtId="0" fontId="18" fillId="19" borderId="2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left" vertical="center" wrapText="1" indent="1"/>
    </xf>
    <xf numFmtId="0" fontId="19" fillId="20" borderId="2" applyAlignment="1" pivotButton="0" quotePrefix="0" xfId="0">
      <alignment horizontal="center" vertical="center" wrapText="1"/>
    </xf>
    <xf numFmtId="0" fontId="20" fillId="18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21" fillId="20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15" pivotButton="0" quotePrefix="0" xfId="0"/>
    <xf numFmtId="0" fontId="16" fillId="6" borderId="13" applyAlignment="1" pivotButton="0" quotePrefix="0" xfId="0">
      <alignment horizontal="left" vertical="center" wrapText="1" indent="1"/>
    </xf>
    <xf numFmtId="0" fontId="7" fillId="21" borderId="16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 wrapText="1"/>
    </xf>
    <xf numFmtId="0" fontId="0" fillId="0" borderId="17" pivotButton="0" quotePrefix="0" xfId="0"/>
    <xf numFmtId="0" fontId="7" fillId="21" borderId="18" applyAlignment="1" pivotButton="0" quotePrefix="0" xfId="0">
      <alignment horizontal="center" vertical="center" wrapText="1"/>
    </xf>
    <xf numFmtId="0" fontId="9" fillId="6" borderId="16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left" vertical="top" wrapText="1"/>
    </xf>
    <xf numFmtId="0" fontId="22" fillId="20" borderId="16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3" fillId="5" borderId="18" applyAlignment="1" pivotButton="0" quotePrefix="0" xfId="0">
      <alignment horizontal="left" vertical="top" wrapText="1"/>
    </xf>
    <xf numFmtId="0" fontId="22" fillId="20" borderId="19" applyAlignment="1" pivotButton="0" quotePrefix="0" xfId="0">
      <alignment horizontal="center" vertical="center" wrapText="1"/>
    </xf>
    <xf numFmtId="0" fontId="2" fillId="5" borderId="20" applyAlignment="1" pivotButton="0" quotePrefix="0" xfId="0">
      <alignment horizontal="left" vertical="center" wrapText="1"/>
    </xf>
    <xf numFmtId="0" fontId="0" fillId="0" borderId="21" pivotButton="0" quotePrefix="0" xfId="0"/>
    <xf numFmtId="0" fontId="3" fillId="5" borderId="20" applyAlignment="1" pivotButton="0" quotePrefix="0" xfId="0">
      <alignment horizontal="left" vertical="top" wrapText="1"/>
    </xf>
    <xf numFmtId="0" fontId="3" fillId="5" borderId="22" applyAlignment="1" pivotButton="0" quotePrefix="0" xfId="0">
      <alignment horizontal="left" vertical="top" wrapText="1"/>
    </xf>
    <xf numFmtId="0" fontId="7" fillId="22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 wrapText="1"/>
    </xf>
    <xf numFmtId="0" fontId="24" fillId="17" borderId="1" applyAlignment="1" pivotButton="0" quotePrefix="0" xfId="0">
      <alignment horizontal="center" vertical="center" wrapText="1"/>
    </xf>
    <xf numFmtId="0" fontId="25" fillId="17" borderId="1" applyAlignment="1" pivotButton="0" quotePrefix="0" xfId="0">
      <alignment horizontal="center" vertical="center" wrapText="1"/>
    </xf>
    <xf numFmtId="0" fontId="18" fillId="23" borderId="2" applyAlignment="1" pivotButton="0" quotePrefix="0" xfId="0">
      <alignment horizontal="center" vertical="center" wrapText="1"/>
    </xf>
    <xf numFmtId="164" fontId="26" fillId="5" borderId="2" applyAlignment="1" pivotButton="0" quotePrefix="0" xfId="0">
      <alignment horizontal="left" vertical="center" wrapText="1"/>
    </xf>
    <xf numFmtId="0" fontId="27" fillId="0" borderId="1" applyAlignment="1" pivotButton="0" quotePrefix="0" xfId="0">
      <alignment horizontal="left" vertical="center" wrapText="1"/>
    </xf>
    <xf numFmtId="0" fontId="28" fillId="2" borderId="2" applyAlignment="1" pivotButton="0" quotePrefix="0" xfId="0">
      <alignment horizontal="left" vertical="center" wrapText="1" indent="1"/>
    </xf>
    <xf numFmtId="0" fontId="29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28" fillId="10" borderId="2" applyAlignment="1" pivotButton="0" quotePrefix="0" xfId="0">
      <alignment horizontal="left" vertical="center" wrapText="1" indent="1"/>
    </xf>
    <xf numFmtId="0" fontId="30" fillId="11" borderId="2" applyAlignment="1" pivotButton="0" quotePrefix="0" xfId="0">
      <alignment horizontal="center" vertical="center" wrapText="1"/>
    </xf>
    <xf numFmtId="0" fontId="31" fillId="4" borderId="2" applyAlignment="1" pivotButton="0" quotePrefix="0" xfId="0">
      <alignment horizontal="left" vertical="center" wrapText="1"/>
    </xf>
    <xf numFmtId="0" fontId="32" fillId="11" borderId="2" applyAlignment="1" pivotButton="0" quotePrefix="0" xfId="0">
      <alignment horizontal="left" vertical="center" wrapText="1"/>
    </xf>
    <xf numFmtId="0" fontId="28" fillId="15" borderId="2" applyAlignment="1" pivotButton="0" quotePrefix="0" xfId="0">
      <alignment horizontal="left" vertical="center" wrapText="1" indent="1"/>
    </xf>
    <xf numFmtId="0" fontId="33" fillId="16" borderId="2" applyAlignment="1" pivotButton="0" quotePrefix="0" xfId="0">
      <alignment horizontal="center" vertical="center" wrapText="1"/>
    </xf>
    <xf numFmtId="0" fontId="34" fillId="16" borderId="2" applyAlignment="1" pivotButton="0" quotePrefix="0" xfId="0">
      <alignment horizontal="left" vertical="center" wrapText="1"/>
    </xf>
    <xf numFmtId="0" fontId="28" fillId="17" borderId="2" applyAlignment="1" pivotButton="0" quotePrefix="0" xfId="0">
      <alignment horizontal="left" vertical="center" wrapText="1" indent="1"/>
    </xf>
    <xf numFmtId="0" fontId="28" fillId="18" borderId="2" applyAlignment="1" pivotButton="0" quotePrefix="0" xfId="0">
      <alignment horizontal="left" vertical="center" wrapText="1" indent="1"/>
    </xf>
    <xf numFmtId="0" fontId="11" fillId="18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0" fillId="0" borderId="25" pivotButton="0" quotePrefix="0" xfId="0"/>
    <xf numFmtId="0" fontId="19" fillId="20" borderId="16" applyAlignment="1" pivotButton="0" quotePrefix="0" xfId="0">
      <alignment horizontal="center" vertical="center" wrapText="1"/>
    </xf>
    <xf numFmtId="0" fontId="0" fillId="4" borderId="14" pivotButton="0" quotePrefix="0" xfId="0"/>
    <xf numFmtId="0" fontId="10" fillId="4" borderId="18" applyAlignment="1" pivotButton="0" quotePrefix="0" xfId="0">
      <alignment horizontal="left" vertical="center" wrapText="1"/>
    </xf>
    <xf numFmtId="0" fontId="19" fillId="20" borderId="19" applyAlignment="1" pivotButton="0" quotePrefix="0" xfId="0">
      <alignment horizontal="center" vertical="center" wrapText="1"/>
    </xf>
    <xf numFmtId="0" fontId="10" fillId="4" borderId="20" applyAlignment="1" pivotButton="0" quotePrefix="0" xfId="0">
      <alignment horizontal="left" vertical="center" wrapText="1"/>
    </xf>
    <xf numFmtId="0" fontId="0" fillId="4" borderId="26" pivotButton="0" quotePrefix="0" xfId="0"/>
    <xf numFmtId="0" fontId="19" fillId="20" borderId="20" applyAlignment="1" pivotButton="0" quotePrefix="0" xfId="0">
      <alignment horizontal="center" vertical="center" wrapText="1"/>
    </xf>
    <xf numFmtId="0" fontId="10" fillId="4" borderId="22" applyAlignment="1" pivotButton="0" quotePrefix="0" xfId="0">
      <alignment horizontal="left" vertical="center" wrapText="1"/>
    </xf>
    <xf numFmtId="0" fontId="35" fillId="16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left" vertical="center" wrapText="1"/>
    </xf>
    <xf numFmtId="0" fontId="36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8C8C"/>
    <outlinePr summaryBelow="1" summaryRight="1"/>
    <pageSetUpPr fitToPage="1"/>
  </sheetPr>
  <dimension ref="B1:H55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1" customWidth="1" min="2" max="2"/>
    <col width="4" customWidth="1" min="3" max="3"/>
    <col width="21" customWidth="1" min="4" max="4"/>
    <col width="4" customWidth="1" min="5" max="5"/>
    <col width="21" customWidth="1" min="6" max="6"/>
    <col width="4" customWidth="1" min="7" max="7"/>
    <col width="21" customWidth="1" min="8" max="8"/>
    <col width="2" customWidth="1" min="9" max="9"/>
  </cols>
  <sheetData>
    <row r="1" ht="20" customHeight="1">
      <c r="B1" s="1" t="inlineStr">
        <is>
          <t>Version：1.0</t>
        </is>
      </c>
    </row>
    <row r="2" ht="26" customHeight="1">
      <c r="B2" s="2" t="inlineStr">
        <is>
          <t>HSPの働き方ゼミ</t>
        </is>
      </c>
    </row>
    <row r="3" ht="50" customHeight="1">
      <c r="B3" s="3" t="inlineStr">
        <is>
          <t>働き方の取扱説明書</t>
        </is>
      </c>
    </row>
    <row r="4" ht="30" customHeight="1">
      <c r="B4" s="4" t="inlineStr">
        <is>
          <t>3STEP・推奨3か月で「自分に合った働き方」を言語化するワークブック</t>
        </is>
      </c>
    </row>
    <row r="6" ht="330" customHeight="1">
      <c r="B6" s="5" t="inlineStr">
        <is>
          <t>このワークブックは、
「仕事がしんどい。でも、辞めるべきか分からない」
というHSP会社員が、自分に合った働き方を整理するための教材です。
正解を誰かに教えてもらうことが目的ではありません。
自分は何に疲れるのか。
どんな環境なら働きやすいのか。
どこまでなら頑張れるのか。
どんな職場は避けたいのか。
これらを少しずつ言葉にして、最終的に「自分の働き方の取扱説明書」を完成させます。
すべてを一気に進める必要はありません。
1STEPにつき約1か月を目安に、自分のペースで取り組んでください。</t>
        </is>
      </c>
    </row>
    <row r="8" ht="66" customHeight="1">
      <c r="B8" s="6" t="inlineStr">
        <is>
          <t>このファイルは原本です。
ご自身で記入する場合は、自分用にコピーしてからご利用ください。
定期的に内容を見直し、「働き方の取扱説明書」をアップデートしていきましょう。</t>
        </is>
      </c>
      <c r="C8" s="7" t="n"/>
      <c r="D8" s="7" t="n"/>
      <c r="E8" s="7" t="n"/>
      <c r="F8" s="7" t="n"/>
      <c r="G8" s="7" t="n"/>
      <c r="H8" s="8" t="n"/>
    </row>
    <row r="9" ht="34.09999999999999" customHeight="1">
      <c r="B9" s="9" t="inlineStr">
        <is>
          <t>コピーの方法（Googleスプレッドシート）：メニューの「ファイル」→「コピーを作成」→ 名前を「働き方の取扱説明書_自分の名前」などに変更して保存。　（Excel）：「名前を付けて保存」で自分用のファイルを作成。</t>
        </is>
      </c>
    </row>
    <row r="11" ht="28" customHeight="1">
      <c r="B11" s="10" t="inlineStr">
        <is>
          <t>進め方：3STEP → 完成</t>
        </is>
      </c>
    </row>
    <row r="12" ht="6" customHeight="1"/>
    <row r="13" ht="34" customHeight="1">
      <c r="B13" s="11" t="inlineStr">
        <is>
          <t>STEP1｜自分を知る</t>
        </is>
      </c>
      <c r="C13" s="12" t="inlineStr">
        <is>
          <t>▶</t>
        </is>
      </c>
      <c r="D13" s="13" t="inlineStr">
        <is>
          <t>STEP2｜今を整える</t>
        </is>
      </c>
      <c r="E13" s="12" t="inlineStr">
        <is>
          <t>▶</t>
        </is>
      </c>
      <c r="F13" s="14" t="inlineStr">
        <is>
          <t>STEP3｜これからを選ぶ</t>
        </is>
      </c>
      <c r="G13" s="12" t="inlineStr">
        <is>
          <t>▶</t>
        </is>
      </c>
      <c r="H13" s="15" t="inlineStr">
        <is>
          <t>完成</t>
        </is>
      </c>
    </row>
    <row r="14" ht="48" customHeight="1">
      <c r="B14" s="16" t="inlineStr">
        <is>
          <t>なぜ私は仕事で消耗するのか？</t>
        </is>
      </c>
      <c r="D14" s="17" t="inlineStr">
        <is>
          <t>今の職場でもう少しラクに働けないか？</t>
        </is>
      </c>
      <c r="F14" s="18" t="inlineStr">
        <is>
          <t>残る・辞める・転職するをどう判断するか？</t>
        </is>
      </c>
      <c r="H14" s="19" t="inlineStr">
        <is>
          <t>迷ったとき、何度でも戻ってこられる
自分専用の判断ツール</t>
        </is>
      </c>
    </row>
    <row r="15" ht="80" customHeight="1">
      <c r="B15" s="20" t="inlineStr">
        <is>
          <t>01_働き方セルフチェック
02_消耗ポイント
03_働きやすい条件
04_頑張りすぎパターン</t>
        </is>
      </c>
      <c r="D15" s="20" t="inlineStr">
        <is>
          <t>05_変えられること・
　　変えられないこと
06_仕事の境界線
07_相談ルート</t>
        </is>
      </c>
      <c r="F15" s="20" t="inlineStr">
        <is>
          <t>08_残る・転職する判断基準
09_Must・Want・NG
10_90日行動計画</t>
        </is>
      </c>
      <c r="H15" s="20" t="inlineStr">
        <is>
          <t>11_私の働き方の
　　取扱説明書</t>
        </is>
      </c>
    </row>
    <row r="16" ht="22" customHeight="1">
      <c r="B16" s="21" t="inlineStr">
        <is>
          <t>目安：1か月目</t>
        </is>
      </c>
      <c r="D16" s="22" t="inlineStr">
        <is>
          <t>目安：2か月目</t>
        </is>
      </c>
      <c r="F16" s="23" t="inlineStr">
        <is>
          <t>目安：3か月目</t>
        </is>
      </c>
      <c r="H16" s="24" t="inlineStr">
        <is>
          <t>3か月ごとに見直し</t>
        </is>
      </c>
    </row>
    <row r="18" ht="28" customHeight="1">
      <c r="B18" s="10" t="inlineStr">
        <is>
          <t>目次・進み具合チェック</t>
        </is>
      </c>
    </row>
    <row r="19" ht="21.05" customHeight="1">
      <c r="B19" s="25" t="inlineStr">
        <is>
          <t>終わったシートは「完了」欄を「☑ 完了」にしましょう。どこまで進んだかが一目で分かります。</t>
        </is>
      </c>
    </row>
    <row r="20" ht="30" customHeight="1">
      <c r="B20" s="26" t="inlineStr">
        <is>
          <t>STEP</t>
        </is>
      </c>
      <c r="C20" s="26" t="inlineStr">
        <is>
          <t>シート</t>
        </is>
      </c>
      <c r="D20" s="27" t="n"/>
      <c r="E20" s="26" t="inlineStr">
        <is>
          <t>このシートで分かること</t>
        </is>
      </c>
      <c r="F20" s="28" t="n"/>
      <c r="G20" s="27" t="n"/>
      <c r="H20" s="26" t="inlineStr">
        <is>
          <t>完了</t>
        </is>
      </c>
    </row>
    <row r="21" ht="30" customHeight="1">
      <c r="B21" s="29" t="inlineStr">
        <is>
          <t>STEP1</t>
        </is>
      </c>
      <c r="C21" s="30" t="inlineStr">
        <is>
          <t>01_働き方セルフチェック</t>
        </is>
      </c>
      <c r="D21" s="27" t="n"/>
      <c r="E21" s="31" t="inlineStr">
        <is>
          <t>今の働き方の状態</t>
        </is>
      </c>
      <c r="F21" s="28" t="n"/>
      <c r="G21" s="27" t="n"/>
      <c r="H21" s="32" t="inlineStr">
        <is>
          <t>☐ 未完了</t>
        </is>
      </c>
    </row>
    <row r="22" ht="30" customHeight="1">
      <c r="B22" s="29" t="inlineStr">
        <is>
          <t>STEP1</t>
        </is>
      </c>
      <c r="C22" s="30" t="inlineStr">
        <is>
          <t>02_消耗ポイント</t>
        </is>
      </c>
      <c r="D22" s="27" t="n"/>
      <c r="E22" s="31" t="inlineStr">
        <is>
          <t>私は何に疲れているのか</t>
        </is>
      </c>
      <c r="F22" s="28" t="n"/>
      <c r="G22" s="27" t="n"/>
      <c r="H22" s="32" t="inlineStr">
        <is>
          <t>☐ 未完了</t>
        </is>
      </c>
    </row>
    <row r="23" ht="30" customHeight="1">
      <c r="B23" s="29" t="inlineStr">
        <is>
          <t>STEP1</t>
        </is>
      </c>
      <c r="C23" s="30" t="inlineStr">
        <is>
          <t>03_働きやすい条件</t>
        </is>
      </c>
      <c r="D23" s="27" t="n"/>
      <c r="E23" s="31" t="inlineStr">
        <is>
          <t>どんな環境なら働きやすいのか</t>
        </is>
      </c>
      <c r="F23" s="28" t="n"/>
      <c r="G23" s="27" t="n"/>
      <c r="H23" s="32" t="inlineStr">
        <is>
          <t>☐ 未完了</t>
        </is>
      </c>
    </row>
    <row r="24" ht="30" customHeight="1">
      <c r="B24" s="29" t="inlineStr">
        <is>
          <t>STEP1</t>
        </is>
      </c>
      <c r="C24" s="30" t="inlineStr">
        <is>
          <t>04_頑張りすぎパターン</t>
        </is>
      </c>
      <c r="D24" s="27" t="n"/>
      <c r="E24" s="31" t="inlineStr">
        <is>
          <t>自分が無理を始めるパターン</t>
        </is>
      </c>
      <c r="F24" s="28" t="n"/>
      <c r="G24" s="27" t="n"/>
      <c r="H24" s="32" t="inlineStr">
        <is>
          <t>☐ 未完了</t>
        </is>
      </c>
    </row>
    <row r="25" ht="30" customHeight="1">
      <c r="B25" s="33" t="inlineStr">
        <is>
          <t>STEP2</t>
        </is>
      </c>
      <c r="C25" s="30" t="inlineStr">
        <is>
          <t>05_変えられること・変えられないこと</t>
        </is>
      </c>
      <c r="D25" s="27" t="n"/>
      <c r="E25" s="31" t="inlineStr">
        <is>
          <t>今の職場で改善できること</t>
        </is>
      </c>
      <c r="F25" s="28" t="n"/>
      <c r="G25" s="27" t="n"/>
      <c r="H25" s="32" t="inlineStr">
        <is>
          <t>☐ 未完了</t>
        </is>
      </c>
    </row>
    <row r="26" ht="30" customHeight="1">
      <c r="B26" s="33" t="inlineStr">
        <is>
          <t>STEP2</t>
        </is>
      </c>
      <c r="C26" s="30" t="inlineStr">
        <is>
          <t>06_仕事の境界線</t>
        </is>
      </c>
      <c r="D26" s="27" t="n"/>
      <c r="E26" s="31" t="inlineStr">
        <is>
          <t>頑張る・断る・休む基準と、自分を守るルール</t>
        </is>
      </c>
      <c r="F26" s="28" t="n"/>
      <c r="G26" s="27" t="n"/>
      <c r="H26" s="32" t="inlineStr">
        <is>
          <t>☐ 未完了</t>
        </is>
      </c>
    </row>
    <row r="27" ht="30" customHeight="1">
      <c r="B27" s="33" t="inlineStr">
        <is>
          <t>STEP2</t>
        </is>
      </c>
      <c r="C27" s="30" t="inlineStr">
        <is>
          <t>07_相談ルート</t>
        </is>
      </c>
      <c r="D27" s="27" t="n"/>
      <c r="E27" s="31" t="inlineStr">
        <is>
          <t>ひとりで抱え込まないための相談先</t>
        </is>
      </c>
      <c r="F27" s="28" t="n"/>
      <c r="G27" s="27" t="n"/>
      <c r="H27" s="32" t="inlineStr">
        <is>
          <t>☐ 未完了</t>
        </is>
      </c>
    </row>
    <row r="28" ht="30" customHeight="1">
      <c r="B28" s="34" t="inlineStr">
        <is>
          <t>STEP3</t>
        </is>
      </c>
      <c r="C28" s="30" t="inlineStr">
        <is>
          <t>08_残る・転職する判断基準</t>
        </is>
      </c>
      <c r="D28" s="27" t="n"/>
      <c r="E28" s="31" t="inlineStr">
        <is>
          <t>気分ではなく、自分の基準での判断</t>
        </is>
      </c>
      <c r="F28" s="28" t="n"/>
      <c r="G28" s="27" t="n"/>
      <c r="H28" s="32" t="inlineStr">
        <is>
          <t>☐ 未完了</t>
        </is>
      </c>
    </row>
    <row r="29" ht="30" customHeight="1">
      <c r="B29" s="34" t="inlineStr">
        <is>
          <t>STEP3</t>
        </is>
      </c>
      <c r="C29" s="30" t="inlineStr">
        <is>
          <t>09_Must・Want・NG</t>
        </is>
      </c>
      <c r="D29" s="27" t="n"/>
      <c r="E29" s="31" t="inlineStr">
        <is>
          <t>次の職場の条件と「絶対にやりたくないこと」</t>
        </is>
      </c>
      <c r="F29" s="28" t="n"/>
      <c r="G29" s="27" t="n"/>
      <c r="H29" s="32" t="inlineStr">
        <is>
          <t>☐ 未完了</t>
        </is>
      </c>
    </row>
    <row r="30" ht="30" customHeight="1">
      <c r="B30" s="34" t="inlineStr">
        <is>
          <t>STEP3</t>
        </is>
      </c>
      <c r="C30" s="30" t="inlineStr">
        <is>
          <t>10_90日行動計画</t>
        </is>
      </c>
      <c r="D30" s="27" t="n"/>
      <c r="E30" s="31" t="inlineStr">
        <is>
          <t>これから90日でやること</t>
        </is>
      </c>
      <c r="F30" s="28" t="n"/>
      <c r="G30" s="27" t="n"/>
      <c r="H30" s="32" t="inlineStr">
        <is>
          <t>☐ 未完了</t>
        </is>
      </c>
    </row>
    <row r="31" ht="30" customHeight="1">
      <c r="B31" s="35" t="inlineStr">
        <is>
          <t>完成</t>
        </is>
      </c>
      <c r="C31" s="30" t="inlineStr">
        <is>
          <t>11_私の働き方の取扱説明書</t>
        </is>
      </c>
      <c r="D31" s="27" t="n"/>
      <c r="E31" s="31" t="inlineStr">
        <is>
          <t>1〜2ページで見返せる、自分専用の取扱説明書</t>
        </is>
      </c>
      <c r="F31" s="28" t="n"/>
      <c r="G31" s="27" t="n"/>
      <c r="H31" s="32" t="inlineStr">
        <is>
          <t>☐ 未完了</t>
        </is>
      </c>
    </row>
    <row r="32" ht="28" customHeight="1">
      <c r="B32" s="36" t="inlineStr">
        <is>
          <t>進み具合</t>
        </is>
      </c>
      <c r="C32" s="37">
        <f>"完了 "&amp;COUNTIF(H21:H31,"☑ 完了")&amp;" / 11 シート"</f>
        <v/>
      </c>
      <c r="D32" s="28" t="n"/>
      <c r="E32" s="28" t="n"/>
      <c r="F32" s="28" t="n"/>
      <c r="G32" s="28" t="n"/>
      <c r="H32" s="27" t="n"/>
    </row>
    <row r="34" ht="28" customHeight="1">
      <c r="B34" s="10" t="inlineStr">
        <is>
          <t>記入のルール</t>
        </is>
      </c>
    </row>
    <row r="35" ht="26" customHeight="1">
      <c r="B35" s="32" t="inlineStr">
        <is>
          <t>黄色のセル</t>
        </is>
      </c>
      <c r="C35" s="38" t="inlineStr">
        <is>
          <t>あなたの記入欄です。ここに書き込みます。</t>
        </is>
      </c>
      <c r="D35" s="28" t="n"/>
      <c r="E35" s="28" t="n"/>
      <c r="F35" s="28" t="n"/>
      <c r="G35" s="28" t="n"/>
      <c r="H35" s="27" t="n"/>
    </row>
    <row r="36" ht="26" customHeight="1">
      <c r="B36" s="39" t="inlineStr">
        <is>
          <t>グレーのセル</t>
        </is>
      </c>
      <c r="C36" s="38" t="inlineStr">
        <is>
          <t>記入例です。書き方の参考にしてください（消さずに残してOK）。</t>
        </is>
      </c>
      <c r="D36" s="28" t="n"/>
      <c r="E36" s="28" t="n"/>
      <c r="F36" s="28" t="n"/>
      <c r="G36" s="28" t="n"/>
      <c r="H36" s="27" t="n"/>
    </row>
    <row r="37" ht="26" customHeight="1">
      <c r="B37" s="40" t="inlineStr">
        <is>
          <t>薄いグレー（数字）</t>
        </is>
      </c>
      <c r="C37" s="38" t="inlineStr">
        <is>
          <t>自動で計算される欄です（入力不要）。</t>
        </is>
      </c>
      <c r="D37" s="28" t="n"/>
      <c r="E37" s="28" t="n"/>
      <c r="F37" s="28" t="n"/>
      <c r="G37" s="28" t="n"/>
      <c r="H37" s="27" t="n"/>
    </row>
    <row r="38" ht="26" customHeight="1">
      <c r="B38" s="41" t="inlineStr">
        <is>
          <t>▼ ドロップダウン</t>
        </is>
      </c>
      <c r="C38" s="38" t="inlineStr">
        <is>
          <t>セルを選ぶと選択肢が表示されます。「自由入力も可」の欄は直接書き込んでもOK。</t>
        </is>
      </c>
      <c r="D38" s="28" t="n"/>
      <c r="E38" s="28" t="n"/>
      <c r="F38" s="28" t="n"/>
      <c r="G38" s="28" t="n"/>
      <c r="H38" s="27" t="n"/>
    </row>
    <row r="39" ht="26" customHeight="1">
      <c r="B39" s="41" t="inlineStr">
        <is>
          <t>☐ 未完了／☑ 完了</t>
        </is>
      </c>
      <c r="C39" s="38" t="inlineStr">
        <is>
          <t>完了欄は選択式のチェックです。</t>
        </is>
      </c>
      <c r="D39" s="28" t="n"/>
      <c r="E39" s="28" t="n"/>
      <c r="F39" s="28" t="n"/>
      <c r="G39" s="28" t="n"/>
      <c r="H39" s="27" t="n"/>
    </row>
    <row r="40" ht="26" customHeight="1">
      <c r="B40" s="41" t="inlineStr">
        <is>
          <t>★ まとめ欄</t>
        </is>
      </c>
      <c r="C40" s="38" t="inlineStr">
        <is>
          <t>各シートの★まとめ欄は「11_私の働き方の取扱説明書」に自動で反映されます。</t>
        </is>
      </c>
      <c r="D40" s="28" t="n"/>
      <c r="E40" s="28" t="n"/>
      <c r="F40" s="28" t="n"/>
      <c r="G40" s="28" t="n"/>
      <c r="H40" s="27" t="n"/>
    </row>
    <row r="42" ht="28" customHeight="1">
      <c r="B42" s="10" t="inlineStr">
        <is>
          <t>おすすめの使い方</t>
        </is>
      </c>
    </row>
    <row r="43" ht="124" customHeight="1">
      <c r="B43" s="42" t="inlineStr">
        <is>
          <t>・1STEPにつき約1か月が目安です。1回15〜30分、週1回ほど開くペースで十分です。
・うまく書けなくても大丈夫。単語やメモ書きからで構いません。あとから何度でも書き直せます。
・しんどいときは無理に進めず、休むことを優先してください。
・完成後は3か月に1回、または「辞めたい」「迷う」と感じたときに「11_私の働き方の取扱説明書」を見返し、アップデートしましょう。
・ゼミのワークや個別相談のときに、このファイルを手元に置いておくと話がスムーズです。
・Googleスプレッドシートでチェックボックスを使いたい場合は、完了欄を選んで「挿入」→「チェックボックス」に置き換えることもできます（その場合、進み具合の自動集計は使えなくなります）。</t>
        </is>
      </c>
      <c r="C43" s="28" t="n"/>
      <c r="D43" s="28" t="n"/>
      <c r="E43" s="28" t="n"/>
      <c r="F43" s="28" t="n"/>
      <c r="G43" s="28" t="n"/>
      <c r="H43" s="27" t="n"/>
    </row>
    <row r="45" ht="28" customHeight="1">
      <c r="B45" s="43" t="inlineStr">
        <is>
          <t>ご注意</t>
        </is>
      </c>
    </row>
    <row r="46" ht="51.5" customHeight="1">
      <c r="B46" s="44" t="inlineStr">
        <is>
          <t>この教材は、HSPの診断・医療診断・心理療法・メンタル不調の治療を目的としたものではありません。
セルフチェックの点数は、今の働き方をふり返るための目安であり、何かを判定するものではありません。
強い心身の不調や生活に支障がある場合は、無理をせず医療・心理等の専門家へご相談ください。</t>
        </is>
      </c>
      <c r="C46" s="28" t="n"/>
      <c r="D46" s="28" t="n"/>
      <c r="E46" s="28" t="n"/>
      <c r="F46" s="28" t="n"/>
      <c r="G46" s="28" t="n"/>
      <c r="H46" s="27" t="n"/>
    </row>
    <row r="48" ht="28" customHeight="1">
      <c r="B48" s="45" t="inlineStr">
        <is>
          <t>バージョン情報・更新履歴</t>
        </is>
      </c>
    </row>
    <row r="49" ht="30" customHeight="1">
      <c r="B49" s="46" t="inlineStr">
        <is>
          <t>Version</t>
        </is>
      </c>
      <c r="C49" s="46" t="inlineStr">
        <is>
          <t>更新日</t>
        </is>
      </c>
      <c r="D49" s="27" t="n"/>
      <c r="E49" s="46" t="inlineStr">
        <is>
          <t>更新内容</t>
        </is>
      </c>
      <c r="F49" s="28" t="n"/>
      <c r="G49" s="28" t="n"/>
      <c r="H49" s="27" t="n"/>
    </row>
    <row r="50" ht="22" customHeight="1">
      <c r="B50" s="47" t="inlineStr">
        <is>
          <t>1.0</t>
        </is>
      </c>
      <c r="C50" s="47" t="inlineStr">
        <is>
          <t>2026/10</t>
        </is>
      </c>
      <c r="D50" s="27" t="n"/>
      <c r="E50" s="48" t="inlineStr">
        <is>
          <t>初版作成（12シート構成）</t>
        </is>
      </c>
      <c r="F50" s="28" t="n"/>
      <c r="G50" s="28" t="n"/>
      <c r="H50" s="27" t="n"/>
    </row>
    <row r="51" ht="22" customHeight="1">
      <c r="B51" s="47" t="inlineStr"/>
      <c r="C51" s="47" t="inlineStr"/>
      <c r="D51" s="27" t="n"/>
      <c r="E51" s="48" t="inlineStr"/>
      <c r="F51" s="28" t="n"/>
      <c r="G51" s="28" t="n"/>
      <c r="H51" s="27" t="n"/>
    </row>
    <row r="52" ht="22" customHeight="1">
      <c r="B52" s="47" t="inlineStr"/>
      <c r="C52" s="47" t="inlineStr"/>
      <c r="D52" s="27" t="n"/>
      <c r="E52" s="48" t="inlineStr"/>
      <c r="F52" s="28" t="n"/>
      <c r="G52" s="28" t="n"/>
      <c r="H52" s="27" t="n"/>
    </row>
    <row r="53" ht="22" customHeight="1">
      <c r="B53" s="47" t="inlineStr"/>
      <c r="C53" s="47" t="inlineStr"/>
      <c r="D53" s="27" t="n"/>
      <c r="E53" s="48" t="inlineStr"/>
      <c r="F53" s="28" t="n"/>
      <c r="G53" s="28" t="n"/>
      <c r="H53" s="27" t="n"/>
    </row>
    <row r="55">
      <c r="B55" s="49" t="inlineStr">
        <is>
          <t>HSPの働き方ゼミ｜働き方の取扱説明書　Version：1.0　／　運営：note https://note.com/pooyangblog</t>
        </is>
      </c>
    </row>
  </sheetData>
  <mergeCells count="61">
    <mergeCell ref="E28:G28"/>
    <mergeCell ref="C24:D24"/>
    <mergeCell ref="B9:H9"/>
    <mergeCell ref="C30:D30"/>
    <mergeCell ref="C40:H40"/>
    <mergeCell ref="E31:G31"/>
    <mergeCell ref="B55:H55"/>
    <mergeCell ref="B6:H6"/>
    <mergeCell ref="E30:G30"/>
    <mergeCell ref="C26:D26"/>
    <mergeCell ref="B45:H45"/>
    <mergeCell ref="C20:D20"/>
    <mergeCell ref="E13:E16"/>
    <mergeCell ref="C29:D29"/>
    <mergeCell ref="G13:G16"/>
    <mergeCell ref="C36:H36"/>
    <mergeCell ref="E53:H53"/>
    <mergeCell ref="E27:G27"/>
    <mergeCell ref="B4:H4"/>
    <mergeCell ref="C25:D25"/>
    <mergeCell ref="E50:H50"/>
    <mergeCell ref="C50:D50"/>
    <mergeCell ref="E26:G26"/>
    <mergeCell ref="C39:H39"/>
    <mergeCell ref="C22:D22"/>
    <mergeCell ref="B3:H3"/>
    <mergeCell ref="C31:D31"/>
    <mergeCell ref="E25:G25"/>
    <mergeCell ref="B46:H46"/>
    <mergeCell ref="E52:H52"/>
    <mergeCell ref="C32:H32"/>
    <mergeCell ref="C38:H38"/>
    <mergeCell ref="C21:D21"/>
    <mergeCell ref="B18:H18"/>
    <mergeCell ref="E22:G22"/>
    <mergeCell ref="C51:D51"/>
    <mergeCell ref="C37:H37"/>
    <mergeCell ref="C27:D27"/>
    <mergeCell ref="B43:H43"/>
    <mergeCell ref="E51:H51"/>
    <mergeCell ref="E29:G29"/>
    <mergeCell ref="B2:H2"/>
    <mergeCell ref="B48:H48"/>
    <mergeCell ref="C52:D52"/>
    <mergeCell ref="B11:H11"/>
    <mergeCell ref="E21:G21"/>
    <mergeCell ref="B42:H42"/>
    <mergeCell ref="C23:D23"/>
    <mergeCell ref="B8:H8"/>
    <mergeCell ref="E24:G24"/>
    <mergeCell ref="C13:C16"/>
    <mergeCell ref="B1:H1"/>
    <mergeCell ref="E23:G23"/>
    <mergeCell ref="C28:D28"/>
    <mergeCell ref="C35:H35"/>
    <mergeCell ref="C53:D53"/>
    <mergeCell ref="E49:H49"/>
    <mergeCell ref="B19:H19"/>
    <mergeCell ref="B34:H34"/>
    <mergeCell ref="E20:G20"/>
    <mergeCell ref="C49:D49"/>
  </mergeCells>
  <dataValidations count="1">
    <dataValidation sqref="H21:H31" showDropDown="0" showInputMessage="0" showErrorMessage="0" allowBlank="1" errorTitle="入力エラー" error="リストから選んでください" type="list">
      <formula1>"☐ 未完了,☑ 完了"</formula1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&amp;C&amp;8 HSPの働き方ゼミ｜働き方の取扱説明書  Version：1.0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E6E9E"/>
    <outlinePr summaryBelow="1" summaryRight="1"/>
    <pageSetUpPr fitToPage="1"/>
  </sheetPr>
  <dimension ref="A1:K38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7" customWidth="1" min="3" max="3"/>
    <col width="21" customWidth="1" min="4" max="4"/>
    <col width="6" customWidth="1" min="5" max="5"/>
    <col width="21" customWidth="1" min="6" max="6"/>
    <col width="6" customWidth="1" min="7" max="7"/>
    <col width="30" customWidth="1" min="8" max="8"/>
    <col width="2" customWidth="1" min="9" max="9"/>
    <col width="21" customWidth="1" min="10" max="10"/>
    <col width="7" customWidth="1" min="11" max="11"/>
  </cols>
  <sheetData>
    <row r="1" ht="36" customHeight="1">
      <c r="A1" s="50" t="inlineStr">
        <is>
          <t>STEP1｜自分を知る　01 働き方セルフチェック</t>
        </is>
      </c>
    </row>
    <row r="2" ht="26" customHeight="1">
      <c r="A2" s="51" t="inlineStr">
        <is>
          <t>目的：今の働き方の状態を確認する（なぜ私は仕事で消耗するのか？の入口）</t>
        </is>
      </c>
    </row>
    <row r="3" ht="51.5" customHeight="1">
      <c r="A3" s="52" t="inlineStr">
        <is>
          <t>① 各質問に、今の自分に近いものをドロップダウンで選びます（深く考えすぎず、直感でOK）。
② 3か月後（STEP3が終わる頃）にもう一度回答して、変化を比べてみましょう。
③ 最後に「気づいたこと」を一言メモします。点数は良い・悪いを決めるものではありません。</t>
        </is>
      </c>
    </row>
    <row r="4" ht="22" customHeight="1">
      <c r="A4" s="53" t="inlineStr">
        <is>
          <t>■ 黄色＝あなたの記入欄</t>
        </is>
      </c>
      <c r="B4" s="27" t="n"/>
      <c r="C4" s="54" t="inlineStr">
        <is>
          <t>■ グレー＝記入例</t>
        </is>
      </c>
      <c r="D4" s="55" t="inlineStr">
        <is>
          <t>所要時間の目安：約10分　／　記入例は消さずに残してOK。行が足りなければ、記入欄の行をコピーして増やせます。</t>
        </is>
      </c>
    </row>
    <row r="6" ht="30" customHeight="1">
      <c r="A6" s="56" t="inlineStr">
        <is>
          <t>No.</t>
        </is>
      </c>
      <c r="B6" s="56" t="inlineStr">
        <is>
          <t>質問</t>
        </is>
      </c>
      <c r="C6" s="56" t="inlineStr">
        <is>
          <t>カテゴリ</t>
        </is>
      </c>
      <c r="D6" s="56" t="inlineStr">
        <is>
          <t>開始時の回答</t>
        </is>
      </c>
      <c r="E6" s="56" t="inlineStr">
        <is>
          <t>点</t>
        </is>
      </c>
      <c r="F6" s="56" t="inlineStr">
        <is>
          <t>3か月後の回答</t>
        </is>
      </c>
      <c r="G6" s="56" t="inlineStr">
        <is>
          <t>点</t>
        </is>
      </c>
      <c r="H6" s="56" t="inlineStr">
        <is>
          <t>メモ（具体的な場面など）</t>
        </is>
      </c>
      <c r="J6" s="57" t="inlineStr">
        <is>
          <t>回答の選択肢</t>
        </is>
      </c>
      <c r="K6" s="57" t="inlineStr">
        <is>
          <t>点</t>
        </is>
      </c>
    </row>
    <row r="7" ht="34" customHeight="1">
      <c r="A7" s="58" t="inlineStr">
        <is>
          <t>例</t>
        </is>
      </c>
      <c r="B7" s="59" t="inlineStr">
        <is>
          <t>（例）休日になっても疲れが抜けない</t>
        </is>
      </c>
      <c r="C7" s="59" t="inlineStr">
        <is>
          <t>記入例</t>
        </is>
      </c>
      <c r="D7" s="59" t="inlineStr">
        <is>
          <t>とても当てはまる</t>
        </is>
      </c>
      <c r="E7" s="58" t="n">
        <v>5</v>
      </c>
      <c r="F7" s="59" t="inlineStr">
        <is>
          <t>少し当てはまる</t>
        </is>
      </c>
      <c r="G7" s="58" t="n">
        <v>4</v>
      </c>
      <c r="H7" s="59" t="inlineStr">
        <is>
          <t>日曜の夕方になると月曜のことを考えてしまう</t>
        </is>
      </c>
      <c r="J7" s="60" t="inlineStr">
        <is>
          <t>まったく当てはまらない</t>
        </is>
      </c>
      <c r="K7" s="61" t="n">
        <v>1</v>
      </c>
    </row>
    <row r="8" ht="30" customHeight="1">
      <c r="A8" s="62" t="n">
        <v>1</v>
      </c>
      <c r="B8" s="63" t="inlineStr">
        <is>
          <t>仕事が終わっても頭から仕事が離れない</t>
        </is>
      </c>
      <c r="C8" s="63" t="inlineStr">
        <is>
          <t>心と体の疲れ</t>
        </is>
      </c>
      <c r="D8" s="64" t="n"/>
      <c r="E8" s="65">
        <f>IF(D8="","",MATCH(D8,$J$7:$J$11,0))</f>
        <v/>
      </c>
      <c r="F8" s="64" t="n"/>
      <c r="G8" s="65">
        <f>IF(F8="","",MATCH(F8,$J$7:$J$11,0))</f>
        <v/>
      </c>
      <c r="H8" s="64" t="n"/>
      <c r="J8" s="60" t="inlineStr">
        <is>
          <t>あまり当てはまらない</t>
        </is>
      </c>
      <c r="K8" s="61" t="n">
        <v>2</v>
      </c>
    </row>
    <row r="9" ht="30" customHeight="1">
      <c r="A9" s="62" t="n">
        <v>2</v>
      </c>
      <c r="B9" s="63" t="inlineStr">
        <is>
          <t>休日になっても疲れが抜けない</t>
        </is>
      </c>
      <c r="C9" s="63" t="inlineStr">
        <is>
          <t>心と体の疲れ</t>
        </is>
      </c>
      <c r="D9" s="64" t="n"/>
      <c r="E9" s="65">
        <f>IF(D9="","",MATCH(D9,$J$7:$J$11,0))</f>
        <v/>
      </c>
      <c r="F9" s="64" t="n"/>
      <c r="G9" s="65">
        <f>IF(F9="","",MATCH(F9,$J$7:$J$11,0))</f>
        <v/>
      </c>
      <c r="H9" s="64" t="n"/>
      <c r="J9" s="60" t="inlineStr">
        <is>
          <t>どちらともいえない</t>
        </is>
      </c>
      <c r="K9" s="61" t="n">
        <v>3</v>
      </c>
    </row>
    <row r="10" ht="30" customHeight="1">
      <c r="A10" s="62" t="n">
        <v>3</v>
      </c>
      <c r="B10" s="63" t="inlineStr">
        <is>
          <t>頼まれた仕事を断るのが苦手</t>
        </is>
      </c>
      <c r="C10" s="63" t="inlineStr">
        <is>
          <t>頑張りすぎ・境界線</t>
        </is>
      </c>
      <c r="D10" s="64" t="n"/>
      <c r="E10" s="65">
        <f>IF(D10="","",MATCH(D10,$J$7:$J$11,0))</f>
        <v/>
      </c>
      <c r="F10" s="64" t="n"/>
      <c r="G10" s="65">
        <f>IF(F10="","",MATCH(F10,$J$7:$J$11,0))</f>
        <v/>
      </c>
      <c r="H10" s="64" t="n"/>
      <c r="J10" s="60" t="inlineStr">
        <is>
          <t>少し当てはまる</t>
        </is>
      </c>
      <c r="K10" s="61" t="n">
        <v>4</v>
      </c>
    </row>
    <row r="11" ht="30" customHeight="1">
      <c r="A11" s="62" t="n">
        <v>4</v>
      </c>
      <c r="B11" s="63" t="inlineStr">
        <is>
          <t>周囲の機嫌や評価が気になる</t>
        </is>
      </c>
      <c r="C11" s="63" t="inlineStr">
        <is>
          <t>頑張りすぎ・境界線</t>
        </is>
      </c>
      <c r="D11" s="64" t="n"/>
      <c r="E11" s="65">
        <f>IF(D11="","",MATCH(D11,$J$7:$J$11,0))</f>
        <v/>
      </c>
      <c r="F11" s="64" t="n"/>
      <c r="G11" s="65">
        <f>IF(F11="","",MATCH(F11,$J$7:$J$11,0))</f>
        <v/>
      </c>
      <c r="H11" s="64" t="n"/>
      <c r="J11" s="60" t="inlineStr">
        <is>
          <t>とても当てはまる</t>
        </is>
      </c>
      <c r="K11" s="61" t="n">
        <v>5</v>
      </c>
    </row>
    <row r="12" ht="30" customHeight="1">
      <c r="A12" s="62" t="n">
        <v>5</v>
      </c>
      <c r="B12" s="63" t="inlineStr">
        <is>
          <t>仕事を抱え込みやすい</t>
        </is>
      </c>
      <c r="C12" s="63" t="inlineStr">
        <is>
          <t>頑張りすぎ・境界線</t>
        </is>
      </c>
      <c r="D12" s="64" t="n"/>
      <c r="E12" s="65">
        <f>IF(D12="","",MATCH(D12,$J$7:$J$11,0))</f>
        <v/>
      </c>
      <c r="F12" s="64" t="n"/>
      <c r="G12" s="65">
        <f>IF(F12="","",MATCH(F12,$J$7:$J$11,0))</f>
        <v/>
      </c>
      <c r="H12" s="64" t="n"/>
    </row>
    <row r="13" ht="30" customHeight="1">
      <c r="A13" s="62" t="n">
        <v>6</v>
      </c>
      <c r="B13" s="63" t="inlineStr">
        <is>
          <t>周囲が忙しいと自分だけ帰りにくい</t>
        </is>
      </c>
      <c r="C13" s="63" t="inlineStr">
        <is>
          <t>頑張りすぎ・境界線</t>
        </is>
      </c>
      <c r="D13" s="64" t="n"/>
      <c r="E13" s="65">
        <f>IF(D13="","",MATCH(D13,$J$7:$J$11,0))</f>
        <v/>
      </c>
      <c r="F13" s="64" t="n"/>
      <c r="G13" s="65">
        <f>IF(F13="","",MATCH(F13,$J$7:$J$11,0))</f>
        <v/>
      </c>
      <c r="H13" s="64" t="n"/>
    </row>
    <row r="14" ht="30" customHeight="1">
      <c r="A14" s="62" t="n">
        <v>7</v>
      </c>
      <c r="B14" s="63" t="inlineStr">
        <is>
          <t>急な予定変更が続くと疲れる</t>
        </is>
      </c>
      <c r="C14" s="63" t="inlineStr">
        <is>
          <t>環境との相性</t>
        </is>
      </c>
      <c r="D14" s="64" t="n"/>
      <c r="E14" s="65">
        <f>IF(D14="","",MATCH(D14,$J$7:$J$11,0))</f>
        <v/>
      </c>
      <c r="F14" s="64" t="n"/>
      <c r="G14" s="65">
        <f>IF(F14="","",MATCH(F14,$J$7:$J$11,0))</f>
        <v/>
      </c>
      <c r="H14" s="64" t="n"/>
    </row>
    <row r="15" ht="30" customHeight="1">
      <c r="A15" s="62" t="n">
        <v>8</v>
      </c>
      <c r="B15" s="63" t="inlineStr">
        <is>
          <t>マルチタスクが続くと消耗する</t>
        </is>
      </c>
      <c r="C15" s="63" t="inlineStr">
        <is>
          <t>環境との相性</t>
        </is>
      </c>
      <c r="D15" s="64" t="n"/>
      <c r="E15" s="65">
        <f>IF(D15="","",MATCH(D15,$J$7:$J$11,0))</f>
        <v/>
      </c>
      <c r="F15" s="64" t="n"/>
      <c r="G15" s="65">
        <f>IF(F15="","",MATCH(F15,$J$7:$J$11,0))</f>
        <v/>
      </c>
      <c r="H15" s="64" t="n"/>
    </row>
    <row r="16" ht="30" customHeight="1">
      <c r="A16" s="62" t="n">
        <v>9</v>
      </c>
      <c r="B16" s="63" t="inlineStr">
        <is>
          <t>静かな環境の方が集中しやすい</t>
        </is>
      </c>
      <c r="C16" s="63" t="inlineStr">
        <is>
          <t>環境との相性</t>
        </is>
      </c>
      <c r="D16" s="64" t="n"/>
      <c r="E16" s="65">
        <f>IF(D16="","",MATCH(D16,$J$7:$J$11,0))</f>
        <v/>
      </c>
      <c r="F16" s="64" t="n"/>
      <c r="G16" s="65">
        <f>IF(F16="","",MATCH(F16,$J$7:$J$11,0))</f>
        <v/>
      </c>
      <c r="H16" s="64" t="n"/>
    </row>
    <row r="17" ht="30" customHeight="1">
      <c r="A17" s="62" t="n">
        <v>10</v>
      </c>
      <c r="B17" s="63" t="inlineStr">
        <is>
          <t>頑張りすぎてから「無理していた」と気づく</t>
        </is>
      </c>
      <c r="C17" s="63" t="inlineStr">
        <is>
          <t>心と体の疲れ</t>
        </is>
      </c>
      <c r="D17" s="64" t="n"/>
      <c r="E17" s="65">
        <f>IF(D17="","",MATCH(D17,$J$7:$J$11,0))</f>
        <v/>
      </c>
      <c r="F17" s="64" t="n"/>
      <c r="G17" s="65">
        <f>IF(F17="","",MATCH(F17,$J$7:$J$11,0))</f>
        <v/>
      </c>
      <c r="H17" s="64" t="n"/>
    </row>
    <row r="18" ht="30" customHeight="1">
      <c r="A18" s="62" t="n">
        <v>11</v>
      </c>
      <c r="B18" s="63" t="inlineStr">
        <is>
          <t>今の働き方をこの先も続けられるか不安</t>
        </is>
      </c>
      <c r="C18" s="63" t="inlineStr">
        <is>
          <t>これからへの迷い</t>
        </is>
      </c>
      <c r="D18" s="64" t="n"/>
      <c r="E18" s="65">
        <f>IF(D18="","",MATCH(D18,$J$7:$J$11,0))</f>
        <v/>
      </c>
      <c r="F18" s="64" t="n"/>
      <c r="G18" s="65">
        <f>IF(F18="","",MATCH(F18,$J$7:$J$11,0))</f>
        <v/>
      </c>
      <c r="H18" s="64" t="n"/>
    </row>
    <row r="19" ht="30" customHeight="1">
      <c r="A19" s="62" t="n">
        <v>12</v>
      </c>
      <c r="B19" s="63" t="inlineStr">
        <is>
          <t>転職したいと思うことがある</t>
        </is>
      </c>
      <c r="C19" s="63" t="inlineStr">
        <is>
          <t>これからへの迷い</t>
        </is>
      </c>
      <c r="D19" s="64" t="n"/>
      <c r="E19" s="65">
        <f>IF(D19="","",MATCH(D19,$J$7:$J$11,0))</f>
        <v/>
      </c>
      <c r="F19" s="64" t="n"/>
      <c r="G19" s="65">
        <f>IF(F19="","",MATCH(F19,$J$7:$J$11,0))</f>
        <v/>
      </c>
      <c r="H19" s="64" t="n"/>
    </row>
    <row r="20" ht="30" customHeight="1">
      <c r="A20" s="62" t="n">
        <v>13</v>
      </c>
      <c r="B20" s="63" t="inlineStr">
        <is>
          <t>自分に合う職場の条件が分からない</t>
        </is>
      </c>
      <c r="C20" s="63" t="inlineStr">
        <is>
          <t>これからへの迷い</t>
        </is>
      </c>
      <c r="D20" s="64" t="n"/>
      <c r="E20" s="65">
        <f>IF(D20="","",MATCH(D20,$J$7:$J$11,0))</f>
        <v/>
      </c>
      <c r="F20" s="64" t="n"/>
      <c r="G20" s="65">
        <f>IF(F20="","",MATCH(F20,$J$7:$J$11,0))</f>
        <v/>
      </c>
      <c r="H20" s="64" t="n"/>
    </row>
    <row r="21" ht="30" customHeight="1">
      <c r="A21" s="62" t="n">
        <v>14</v>
      </c>
      <c r="B21" s="63" t="inlineStr">
        <is>
          <t>休むタイミングが分からない</t>
        </is>
      </c>
      <c r="C21" s="63" t="inlineStr">
        <is>
          <t>心と体の疲れ</t>
        </is>
      </c>
      <c r="D21" s="64" t="n"/>
      <c r="E21" s="65">
        <f>IF(D21="","",MATCH(D21,$J$7:$J$11,0))</f>
        <v/>
      </c>
      <c r="F21" s="64" t="n"/>
      <c r="G21" s="65">
        <f>IF(F21="","",MATCH(F21,$J$7:$J$11,0))</f>
        <v/>
      </c>
      <c r="H21" s="64" t="n"/>
    </row>
    <row r="22" ht="30" customHeight="1">
      <c r="A22" s="62" t="n">
        <v>15</v>
      </c>
      <c r="B22" s="63" t="inlineStr">
        <is>
          <t>「もっと頑張らないと」と思いがち</t>
        </is>
      </c>
      <c r="C22" s="63" t="inlineStr">
        <is>
          <t>頑張りすぎ・境界線</t>
        </is>
      </c>
      <c r="D22" s="64" t="n"/>
      <c r="E22" s="65">
        <f>IF(D22="","",MATCH(D22,$J$7:$J$11,0))</f>
        <v/>
      </c>
      <c r="F22" s="64" t="n"/>
      <c r="G22" s="65">
        <f>IF(F22="","",MATCH(F22,$J$7:$J$11,0))</f>
        <v/>
      </c>
      <c r="H22" s="64" t="n"/>
    </row>
    <row r="23" ht="24" customHeight="1">
      <c r="A23" s="29" t="inlineStr">
        <is>
          <t>合計点（参考・15〜75点）</t>
        </is>
      </c>
      <c r="B23" s="28" t="n"/>
      <c r="C23" s="27" t="n"/>
      <c r="D23" s="66" t="inlineStr">
        <is>
          <t>開始時</t>
        </is>
      </c>
      <c r="E23" s="29">
        <f>SUM(E8:E22)</f>
        <v/>
      </c>
      <c r="F23" s="66" t="inlineStr">
        <is>
          <t>3か月後</t>
        </is>
      </c>
      <c r="G23" s="29">
        <f>SUM(G8:G22)</f>
        <v/>
      </c>
      <c r="H23" s="66" t="inlineStr"/>
    </row>
    <row r="24" ht="24" customHeight="1">
      <c r="A24" s="67" t="inlineStr">
        <is>
          <t>回答した質問の数</t>
        </is>
      </c>
      <c r="B24" s="28" t="n"/>
      <c r="C24" s="27" t="n"/>
      <c r="D24" s="68" t="inlineStr">
        <is>
          <t>開始時</t>
        </is>
      </c>
      <c r="E24" s="67">
        <f>COUNT(E8:E22)</f>
        <v/>
      </c>
      <c r="F24" s="68" t="inlineStr">
        <is>
          <t>3か月後</t>
        </is>
      </c>
      <c r="G24" s="67">
        <f>COUNT(G8:G22)</f>
        <v/>
      </c>
      <c r="H24" s="68" t="inlineStr"/>
    </row>
    <row r="26" ht="28" customHeight="1">
      <c r="A26" s="69" t="inlineStr">
        <is>
          <t>カテゴリ別のふり返り（平均点が高いところ＝今、負担がかかりやすいところのヒント）</t>
        </is>
      </c>
    </row>
    <row r="27" ht="30" customHeight="1">
      <c r="A27" s="57" t="inlineStr">
        <is>
          <t>カテゴリ</t>
        </is>
      </c>
      <c r="B27" s="27" t="n"/>
      <c r="C27" s="57" t="inlineStr">
        <is>
          <t>質問数</t>
        </is>
      </c>
      <c r="D27" s="57" t="inlineStr">
        <is>
          <t>開始時の平均</t>
        </is>
      </c>
      <c r="E27" s="27" t="n"/>
      <c r="F27" s="57" t="inlineStr">
        <is>
          <t>3か月後の平均</t>
        </is>
      </c>
      <c r="G27" s="27" t="n"/>
      <c r="H27" s="57" t="inlineStr">
        <is>
          <t>次に深掘りするシート</t>
        </is>
      </c>
    </row>
    <row r="28" ht="24" customHeight="1">
      <c r="A28" s="63" t="inlineStr">
        <is>
          <t>心と体の疲れ</t>
        </is>
      </c>
      <c r="B28" s="27" t="n"/>
      <c r="C28" s="62">
        <f>COUNTIF($C$8:$C$22,A28)</f>
        <v/>
      </c>
      <c r="D28" s="62">
        <f>IFERROR(ROUND(AVERAGEIF($C$8:$C$22,A28,$E$8:$E$22),1),"-")</f>
        <v/>
      </c>
      <c r="E28" s="27" t="n"/>
      <c r="F28" s="62">
        <f>IFERROR(ROUND(AVERAGEIF($C$8:$C$22,A28,$G$8:$G$22),1),"-")</f>
        <v/>
      </c>
      <c r="G28" s="27" t="n"/>
      <c r="H28" s="63" t="inlineStr">
        <is>
          <t>02_消耗ポイント／06_仕事の境界線</t>
        </is>
      </c>
    </row>
    <row r="29" ht="24" customHeight="1">
      <c r="A29" s="63" t="inlineStr">
        <is>
          <t>頑張りすぎ・境界線</t>
        </is>
      </c>
      <c r="B29" s="27" t="n"/>
      <c r="C29" s="62">
        <f>COUNTIF($C$8:$C$22,A29)</f>
        <v/>
      </c>
      <c r="D29" s="62">
        <f>IFERROR(ROUND(AVERAGEIF($C$8:$C$22,A29,$E$8:$E$22),1),"-")</f>
        <v/>
      </c>
      <c r="E29" s="27" t="n"/>
      <c r="F29" s="62">
        <f>IFERROR(ROUND(AVERAGEIF($C$8:$C$22,A29,$G$8:$G$22),1),"-")</f>
        <v/>
      </c>
      <c r="G29" s="27" t="n"/>
      <c r="H29" s="63" t="inlineStr">
        <is>
          <t>04_頑張りすぎパターン／06／07</t>
        </is>
      </c>
    </row>
    <row r="30" ht="24" customHeight="1">
      <c r="A30" s="63" t="inlineStr">
        <is>
          <t>環境との相性</t>
        </is>
      </c>
      <c r="B30" s="27" t="n"/>
      <c r="C30" s="62">
        <f>COUNTIF($C$8:$C$22,A30)</f>
        <v/>
      </c>
      <c r="D30" s="62">
        <f>IFERROR(ROUND(AVERAGEIF($C$8:$C$22,A30,$E$8:$E$22),1),"-")</f>
        <v/>
      </c>
      <c r="E30" s="27" t="n"/>
      <c r="F30" s="62">
        <f>IFERROR(ROUND(AVERAGEIF($C$8:$C$22,A30,$G$8:$G$22),1),"-")</f>
        <v/>
      </c>
      <c r="G30" s="27" t="n"/>
      <c r="H30" s="63" t="inlineStr">
        <is>
          <t>02／03_働きやすい条件／09</t>
        </is>
      </c>
    </row>
    <row r="31" ht="24" customHeight="1">
      <c r="A31" s="63" t="inlineStr">
        <is>
          <t>これからへの迷い</t>
        </is>
      </c>
      <c r="B31" s="27" t="n"/>
      <c r="C31" s="62">
        <f>COUNTIF($C$8:$C$22,A31)</f>
        <v/>
      </c>
      <c r="D31" s="62">
        <f>IFERROR(ROUND(AVERAGEIF($C$8:$C$22,A31,$E$8:$E$22),1),"-")</f>
        <v/>
      </c>
      <c r="E31" s="27" t="n"/>
      <c r="F31" s="62">
        <f>IFERROR(ROUND(AVERAGEIF($C$8:$C$22,A31,$G$8:$G$22),1),"-")</f>
        <v/>
      </c>
      <c r="G31" s="27" t="n"/>
      <c r="H31" s="63" t="inlineStr">
        <is>
          <t>08_残る・転職する判断基準／09／10</t>
        </is>
      </c>
    </row>
    <row r="33" ht="35.55" customHeight="1">
      <c r="A33" s="70" t="inlineStr">
        <is>
          <t>点数の読み方：点数は「今の働き方の状態」をふり返るための目安です。HSPかどうかや、心身の状態を判定する診断ではありません。点数が高くても低くても、良い・悪いはありません。平均が高かったカテゴリから、関連するシートを優先して取り組んでみましょう。</t>
        </is>
      </c>
    </row>
    <row r="34" ht="35.55" customHeight="1">
      <c r="A34" s="71" t="inlineStr">
        <is>
          <t>※ この教材は、HSPの診断・医療診断・心理療法・メンタル不調の治療を目的としたものではありません。強い心身の不調や生活に支障がある場合は、無理をせず医療・心理等の専門家へご相談ください。</t>
        </is>
      </c>
    </row>
    <row r="36" ht="28" customHeight="1">
      <c r="A36" s="69" t="inlineStr">
        <is>
          <t>セルフチェックで気づいたこと</t>
        </is>
      </c>
    </row>
    <row r="37" ht="34" customHeight="1">
      <c r="A37" s="58" t="inlineStr">
        <is>
          <t>例</t>
        </is>
      </c>
      <c r="B37" s="72" t="inlineStr">
        <is>
          <t>（例）「頑張りすぎ・境界線」の点が一番高かった。疲れの原因は仕事量より、断れないことにあるのかもしれない。</t>
        </is>
      </c>
      <c r="C37" s="28" t="n"/>
      <c r="D37" s="28" t="n"/>
      <c r="E37" s="28" t="n"/>
      <c r="F37" s="28" t="n"/>
      <c r="G37" s="28" t="n"/>
      <c r="H37" s="27" t="n"/>
    </row>
    <row r="38" ht="80" customHeight="1">
      <c r="A38" s="73" t="inlineStr">
        <is>
          <t>記入</t>
        </is>
      </c>
      <c r="B38" s="74" t="n"/>
      <c r="C38" s="28" t="n"/>
      <c r="D38" s="28" t="n"/>
      <c r="E38" s="28" t="n"/>
      <c r="F38" s="28" t="n"/>
      <c r="G38" s="28" t="n"/>
      <c r="H38" s="27" t="n"/>
    </row>
  </sheetData>
  <mergeCells count="28">
    <mergeCell ref="A30:B30"/>
    <mergeCell ref="F29:G29"/>
    <mergeCell ref="A36:H36"/>
    <mergeCell ref="A1:H1"/>
    <mergeCell ref="D31:E31"/>
    <mergeCell ref="F30:G30"/>
    <mergeCell ref="A23:C23"/>
    <mergeCell ref="D27:E27"/>
    <mergeCell ref="A27:B27"/>
    <mergeCell ref="A3:H3"/>
    <mergeCell ref="A26:H26"/>
    <mergeCell ref="A2:H2"/>
    <mergeCell ref="F31:G31"/>
    <mergeCell ref="D28:E28"/>
    <mergeCell ref="A33:H33"/>
    <mergeCell ref="F28:G28"/>
    <mergeCell ref="D4:H4"/>
    <mergeCell ref="F27:G27"/>
    <mergeCell ref="A24:C24"/>
    <mergeCell ref="A4:B4"/>
    <mergeCell ref="A29:B29"/>
    <mergeCell ref="D30:E30"/>
    <mergeCell ref="D29:E29"/>
    <mergeCell ref="A28:B28"/>
    <mergeCell ref="B38:H38"/>
    <mergeCell ref="A31:B31"/>
    <mergeCell ref="B37:H37"/>
    <mergeCell ref="A34:H34"/>
  </mergeCells>
  <dataValidations count="1">
    <dataValidation sqref="D8:D22 F8:F22" showDropDown="0" showInputMessage="0" showErrorMessage="0" allowBlank="1" errorTitle="入力エラー" error="リストから選んでください" type="list">
      <formula1>"まったく当てはまらない,あまり当てはまらない,どちらともいえない,少し当てはまる,とても当てはまる"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HSPの働き方ゼミ｜働き方の取扱説明書  Version：1.0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E6E9E"/>
    <outlinePr summaryBelow="1" summaryRight="1"/>
    <pageSetUpPr fitToPage="1"/>
  </sheetPr>
  <dimension ref="A1:G4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34" customWidth="1" min="4" max="4"/>
    <col width="17" customWidth="1" min="5" max="5"/>
    <col width="10" customWidth="1" min="6" max="6"/>
    <col width="32" customWidth="1" min="7" max="7"/>
  </cols>
  <sheetData>
    <row r="1" ht="36" customHeight="1">
      <c r="A1" s="50" t="inlineStr">
        <is>
          <t>STEP1｜自分を知る　02 消耗ポイント</t>
        </is>
      </c>
    </row>
    <row r="2" ht="26" customHeight="1">
      <c r="A2" s="51" t="inlineStr">
        <is>
          <t>目的：私は何に疲れているのか？を明確にする</t>
        </is>
      </c>
    </row>
    <row r="3" ht="51.5" customHeight="1">
      <c r="A3" s="52" t="inlineStr">
        <is>
          <t>① ここ1〜2週間で「疲れたな」と感じた場面を、思い出せる範囲で書き出します（1日1行でもOK）。
② 「特に疲れた要素」をドロップダウンから選び、疲労度を1〜5で記入します。
③ 下の集計を参考に、「私が消耗しやすい条件 TOP5」を自分の言葉でまとめます。</t>
        </is>
      </c>
    </row>
    <row r="4" ht="22" customHeight="1">
      <c r="A4" s="53" t="inlineStr">
        <is>
          <t>■ 黄色＝あなたの記入欄</t>
        </is>
      </c>
      <c r="B4" s="27" t="n"/>
      <c r="C4" s="54" t="inlineStr">
        <is>
          <t>■ グレー＝記入例</t>
        </is>
      </c>
      <c r="D4" s="55" t="inlineStr">
        <is>
          <t>所要時間の目安：約20分（＋2週間ほど記録を続けるのがおすすめ）　／　記入例は消さずに残してOK。行が足りなければ、記入欄の行をコピーして増やせます。</t>
        </is>
      </c>
    </row>
    <row r="6" ht="34" customHeight="1">
      <c r="A6" s="56" t="inlineStr">
        <is>
          <t>No.</t>
        </is>
      </c>
      <c r="B6" s="56" t="inlineStr">
        <is>
          <t>日付</t>
        </is>
      </c>
      <c r="C6" s="56" t="inlineStr">
        <is>
          <t>最近疲れた場面</t>
        </is>
      </c>
      <c r="D6" s="56" t="inlineStr">
        <is>
          <t>何が起きた？</t>
        </is>
      </c>
      <c r="E6" s="56" t="inlineStr">
        <is>
          <t>特に疲れた要素</t>
        </is>
      </c>
      <c r="F6" s="56" t="inlineStr">
        <is>
          <t>疲労度
1〜5</t>
        </is>
      </c>
      <c r="G6" s="56" t="inlineStr">
        <is>
          <t>次回どうしたい？</t>
        </is>
      </c>
    </row>
    <row r="7" ht="46" customHeight="1">
      <c r="A7" s="58" t="inlineStr">
        <is>
          <t>例</t>
        </is>
      </c>
      <c r="B7" s="58" t="inlineStr">
        <is>
          <t>10/6</t>
        </is>
      </c>
      <c r="C7" s="59" t="inlineStr">
        <is>
          <t>月曜午前、朝礼のあと</t>
        </is>
      </c>
      <c r="D7" s="59" t="inlineStr">
        <is>
          <t>上司から急ぎの資料依頼が3件重なり、その間も電話が鳴り続けた</t>
        </is>
      </c>
      <c r="E7" s="58" t="inlineStr">
        <is>
          <t>マルチタスク</t>
        </is>
      </c>
      <c r="F7" s="58" t="n">
        <v>5</v>
      </c>
      <c r="G7" s="59" t="inlineStr">
        <is>
          <t>依頼が重なったら、その場で上司に優先順位を確認する</t>
        </is>
      </c>
    </row>
    <row r="8" ht="46" customHeight="1">
      <c r="A8" s="58" t="inlineStr">
        <is>
          <t>例</t>
        </is>
      </c>
      <c r="B8" s="58" t="inlineStr">
        <is>
          <t>10/9</t>
        </is>
      </c>
      <c r="C8" s="59" t="inlineStr">
        <is>
          <t>部署の飲み会</t>
        </is>
      </c>
      <c r="D8" s="59" t="inlineStr">
        <is>
          <t>2時間、周りに気を遣って話を合わせ続けた。帰宅後もぐったり</t>
        </is>
      </c>
      <c r="E8" s="58" t="inlineStr">
        <is>
          <t>人間関係</t>
        </is>
      </c>
      <c r="F8" s="58" t="n">
        <v>4</v>
      </c>
      <c r="G8" s="59" t="inlineStr">
        <is>
          <t>一次会で帰る。参加は月1回までにする</t>
        </is>
      </c>
    </row>
    <row r="9" ht="40" customHeight="1">
      <c r="A9" s="62" t="n">
        <v>1</v>
      </c>
      <c r="B9" s="75" t="n"/>
      <c r="C9" s="74" t="n"/>
      <c r="D9" s="74" t="n"/>
      <c r="E9" s="75" t="n"/>
      <c r="F9" s="75" t="n"/>
      <c r="G9" s="74" t="n"/>
    </row>
    <row r="10" ht="40" customHeight="1">
      <c r="A10" s="62" t="n">
        <v>2</v>
      </c>
      <c r="B10" s="75" t="n"/>
      <c r="C10" s="74" t="n"/>
      <c r="D10" s="74" t="n"/>
      <c r="E10" s="75" t="n"/>
      <c r="F10" s="75" t="n"/>
      <c r="G10" s="74" t="n"/>
    </row>
    <row r="11" ht="40" customHeight="1">
      <c r="A11" s="62" t="n">
        <v>3</v>
      </c>
      <c r="B11" s="75" t="n"/>
      <c r="C11" s="74" t="n"/>
      <c r="D11" s="74" t="n"/>
      <c r="E11" s="75" t="n"/>
      <c r="F11" s="75" t="n"/>
      <c r="G11" s="74" t="n"/>
    </row>
    <row r="12" ht="40" customHeight="1">
      <c r="A12" s="62" t="n">
        <v>4</v>
      </c>
      <c r="B12" s="75" t="n"/>
      <c r="C12" s="74" t="n"/>
      <c r="D12" s="74" t="n"/>
      <c r="E12" s="75" t="n"/>
      <c r="F12" s="75" t="n"/>
      <c r="G12" s="74" t="n"/>
    </row>
    <row r="13" ht="40" customHeight="1">
      <c r="A13" s="62" t="n">
        <v>5</v>
      </c>
      <c r="B13" s="75" t="n"/>
      <c r="C13" s="74" t="n"/>
      <c r="D13" s="74" t="n"/>
      <c r="E13" s="75" t="n"/>
      <c r="F13" s="75" t="n"/>
      <c r="G13" s="74" t="n"/>
    </row>
    <row r="14" ht="40" customHeight="1">
      <c r="A14" s="62" t="n">
        <v>6</v>
      </c>
      <c r="B14" s="75" t="n"/>
      <c r="C14" s="74" t="n"/>
      <c r="D14" s="74" t="n"/>
      <c r="E14" s="75" t="n"/>
      <c r="F14" s="75" t="n"/>
      <c r="G14" s="74" t="n"/>
    </row>
    <row r="15" ht="40" customHeight="1">
      <c r="A15" s="62" t="n">
        <v>7</v>
      </c>
      <c r="B15" s="75" t="n"/>
      <c r="C15" s="74" t="n"/>
      <c r="D15" s="74" t="n"/>
      <c r="E15" s="75" t="n"/>
      <c r="F15" s="75" t="n"/>
      <c r="G15" s="74" t="n"/>
    </row>
    <row r="16" ht="40" customHeight="1">
      <c r="A16" s="62" t="n">
        <v>8</v>
      </c>
      <c r="B16" s="75" t="n"/>
      <c r="C16" s="74" t="n"/>
      <c r="D16" s="74" t="n"/>
      <c r="E16" s="75" t="n"/>
      <c r="F16" s="75" t="n"/>
      <c r="G16" s="74" t="n"/>
    </row>
    <row r="17" ht="40" customHeight="1">
      <c r="A17" s="62" t="n">
        <v>9</v>
      </c>
      <c r="B17" s="75" t="n"/>
      <c r="C17" s="74" t="n"/>
      <c r="D17" s="74" t="n"/>
      <c r="E17" s="75" t="n"/>
      <c r="F17" s="75" t="n"/>
      <c r="G17" s="74" t="n"/>
    </row>
    <row r="18" ht="40" customHeight="1">
      <c r="A18" s="62" t="n">
        <v>10</v>
      </c>
      <c r="B18" s="75" t="n"/>
      <c r="C18" s="74" t="n"/>
      <c r="D18" s="74" t="n"/>
      <c r="E18" s="75" t="n"/>
      <c r="F18" s="75" t="n"/>
      <c r="G18" s="74" t="n"/>
    </row>
    <row r="19" ht="40" customHeight="1">
      <c r="A19" s="62" t="n">
        <v>11</v>
      </c>
      <c r="B19" s="75" t="n"/>
      <c r="C19" s="74" t="n"/>
      <c r="D19" s="74" t="n"/>
      <c r="E19" s="75" t="n"/>
      <c r="F19" s="75" t="n"/>
      <c r="G19" s="74" t="n"/>
    </row>
    <row r="20" ht="40" customHeight="1">
      <c r="A20" s="62" t="n">
        <v>12</v>
      </c>
      <c r="B20" s="75" t="n"/>
      <c r="C20" s="74" t="n"/>
      <c r="D20" s="74" t="n"/>
      <c r="E20" s="75" t="n"/>
      <c r="F20" s="75" t="n"/>
      <c r="G20" s="74" t="n"/>
    </row>
    <row r="22" ht="28" customHeight="1">
      <c r="A22" s="69" t="inlineStr">
        <is>
          <t>疲れた要素の集計（TOP5を考えるヒント）</t>
        </is>
      </c>
    </row>
    <row r="23" ht="21.05" customHeight="1">
      <c r="A23" s="25" t="inlineStr">
        <is>
          <t>回数が多い要素・疲労度が高い要素が、あなたの「消耗ポイント」の候補です。数字はあくまで参考に。</t>
        </is>
      </c>
    </row>
    <row r="24" ht="30" customHeight="1">
      <c r="A24" s="57" t="inlineStr">
        <is>
          <t>疲れた要素</t>
        </is>
      </c>
      <c r="B24" s="28" t="n"/>
      <c r="C24" s="27" t="n"/>
      <c r="D24" s="57" t="inlineStr">
        <is>
          <t>記録した回数</t>
        </is>
      </c>
      <c r="E24" s="57" t="inlineStr">
        <is>
          <t>疲労度の平均</t>
        </is>
      </c>
      <c r="F24" s="27" t="n"/>
      <c r="G24" s="57" t="inlineStr"/>
    </row>
    <row r="25" ht="20" customHeight="1">
      <c r="A25" s="63" t="inlineStr">
        <is>
          <t>仕事内容</t>
        </is>
      </c>
      <c r="B25" s="28" t="n"/>
      <c r="C25" s="27" t="n"/>
      <c r="D25" s="62">
        <f>COUNTIF($E$9:$E$20,A25)</f>
        <v/>
      </c>
      <c r="E25" s="62">
        <f>IFERROR(ROUND(AVERAGEIF($E$9:$E$20,A25,$F$9:$F$20),1),"-")</f>
        <v/>
      </c>
      <c r="F25" s="27" t="n"/>
      <c r="G25" s="63" t="inlineStr"/>
    </row>
    <row r="26" ht="20" customHeight="1">
      <c r="A26" s="63" t="inlineStr">
        <is>
          <t>仕事量</t>
        </is>
      </c>
      <c r="B26" s="28" t="n"/>
      <c r="C26" s="27" t="n"/>
      <c r="D26" s="62">
        <f>COUNTIF($E$9:$E$20,A26)</f>
        <v/>
      </c>
      <c r="E26" s="62">
        <f>IFERROR(ROUND(AVERAGEIF($E$9:$E$20,A26,$F$9:$F$20),1),"-")</f>
        <v/>
      </c>
      <c r="F26" s="27" t="n"/>
      <c r="G26" s="63" t="inlineStr"/>
    </row>
    <row r="27" ht="20" customHeight="1">
      <c r="A27" s="63" t="inlineStr">
        <is>
          <t>人間関係</t>
        </is>
      </c>
      <c r="B27" s="28" t="n"/>
      <c r="C27" s="27" t="n"/>
      <c r="D27" s="62">
        <f>COUNTIF($E$9:$E$20,A27)</f>
        <v/>
      </c>
      <c r="E27" s="62">
        <f>IFERROR(ROUND(AVERAGEIF($E$9:$E$20,A27,$F$9:$F$20),1),"-")</f>
        <v/>
      </c>
      <c r="F27" s="27" t="n"/>
      <c r="G27" s="63" t="inlineStr"/>
    </row>
    <row r="28" ht="20" customHeight="1">
      <c r="A28" s="63" t="inlineStr">
        <is>
          <t>音・環境</t>
        </is>
      </c>
      <c r="B28" s="28" t="n"/>
      <c r="C28" s="27" t="n"/>
      <c r="D28" s="62">
        <f>COUNTIF($E$9:$E$20,A28)</f>
        <v/>
      </c>
      <c r="E28" s="62">
        <f>IFERROR(ROUND(AVERAGEIF($E$9:$E$20,A28,$F$9:$F$20),1),"-")</f>
        <v/>
      </c>
      <c r="F28" s="27" t="n"/>
      <c r="G28" s="63" t="inlineStr"/>
    </row>
    <row r="29" ht="20" customHeight="1">
      <c r="A29" s="63" t="inlineStr">
        <is>
          <t>電話</t>
        </is>
      </c>
      <c r="B29" s="28" t="n"/>
      <c r="C29" s="27" t="n"/>
      <c r="D29" s="62">
        <f>COUNTIF($E$9:$E$20,A29)</f>
        <v/>
      </c>
      <c r="E29" s="62">
        <f>IFERROR(ROUND(AVERAGEIF($E$9:$E$20,A29,$F$9:$F$20),1),"-")</f>
        <v/>
      </c>
      <c r="F29" s="27" t="n"/>
      <c r="G29" s="63" t="inlineStr"/>
    </row>
    <row r="30" ht="20" customHeight="1">
      <c r="A30" s="63" t="inlineStr">
        <is>
          <t>突発対応</t>
        </is>
      </c>
      <c r="B30" s="28" t="n"/>
      <c r="C30" s="27" t="n"/>
      <c r="D30" s="62">
        <f>COUNTIF($E$9:$E$20,A30)</f>
        <v/>
      </c>
      <c r="E30" s="62">
        <f>IFERROR(ROUND(AVERAGEIF($E$9:$E$20,A30,$F$9:$F$20),1),"-")</f>
        <v/>
      </c>
      <c r="F30" s="27" t="n"/>
      <c r="G30" s="63" t="inlineStr"/>
    </row>
    <row r="31" ht="20" customHeight="1">
      <c r="A31" s="63" t="inlineStr">
        <is>
          <t>マルチタスク</t>
        </is>
      </c>
      <c r="B31" s="28" t="n"/>
      <c r="C31" s="27" t="n"/>
      <c r="D31" s="62">
        <f>COUNTIF($E$9:$E$20,A31)</f>
        <v/>
      </c>
      <c r="E31" s="62">
        <f>IFERROR(ROUND(AVERAGEIF($E$9:$E$20,A31,$F$9:$F$20),1),"-")</f>
        <v/>
      </c>
      <c r="F31" s="27" t="n"/>
      <c r="G31" s="63" t="inlineStr"/>
    </row>
    <row r="32" ht="20" customHeight="1">
      <c r="A32" s="63" t="inlineStr">
        <is>
          <t>責任</t>
        </is>
      </c>
      <c r="B32" s="28" t="n"/>
      <c r="C32" s="27" t="n"/>
      <c r="D32" s="62">
        <f>COUNTIF($E$9:$E$20,A32)</f>
        <v/>
      </c>
      <c r="E32" s="62">
        <f>IFERROR(ROUND(AVERAGEIF($E$9:$E$20,A32,$F$9:$F$20),1),"-")</f>
        <v/>
      </c>
      <c r="F32" s="27" t="n"/>
      <c r="G32" s="63" t="inlineStr"/>
    </row>
    <row r="33" ht="20" customHeight="1">
      <c r="A33" s="63" t="inlineStr">
        <is>
          <t>評価</t>
        </is>
      </c>
      <c r="B33" s="28" t="n"/>
      <c r="C33" s="27" t="n"/>
      <c r="D33" s="62">
        <f>COUNTIF($E$9:$E$20,A33)</f>
        <v/>
      </c>
      <c r="E33" s="62">
        <f>IFERROR(ROUND(AVERAGEIF($E$9:$E$20,A33,$F$9:$F$20),1),"-")</f>
        <v/>
      </c>
      <c r="F33" s="27" t="n"/>
      <c r="G33" s="63" t="inlineStr"/>
    </row>
    <row r="34" ht="20" customHeight="1">
      <c r="A34" s="63" t="inlineStr">
        <is>
          <t>残業</t>
        </is>
      </c>
      <c r="B34" s="28" t="n"/>
      <c r="C34" s="27" t="n"/>
      <c r="D34" s="62">
        <f>COUNTIF($E$9:$E$20,A34)</f>
        <v/>
      </c>
      <c r="E34" s="62">
        <f>IFERROR(ROUND(AVERAGEIF($E$9:$E$20,A34,$F$9:$F$20),1),"-")</f>
        <v/>
      </c>
      <c r="F34" s="27" t="n"/>
      <c r="G34" s="63" t="inlineStr"/>
    </row>
    <row r="35" ht="20" customHeight="1">
      <c r="A35" s="63" t="inlineStr">
        <is>
          <t>通勤</t>
        </is>
      </c>
      <c r="B35" s="28" t="n"/>
      <c r="C35" s="27" t="n"/>
      <c r="D35" s="62">
        <f>COUNTIF($E$9:$E$20,A35)</f>
        <v/>
      </c>
      <c r="E35" s="62">
        <f>IFERROR(ROUND(AVERAGEIF($E$9:$E$20,A35,$F$9:$F$20),1),"-")</f>
        <v/>
      </c>
      <c r="F35" s="27" t="n"/>
      <c r="G35" s="63" t="inlineStr"/>
    </row>
    <row r="36" ht="20" customHeight="1">
      <c r="A36" s="63" t="inlineStr">
        <is>
          <t>その他</t>
        </is>
      </c>
      <c r="B36" s="28" t="n"/>
      <c r="C36" s="27" t="n"/>
      <c r="D36" s="62">
        <f>COUNTIF($E$9:$E$20,A36)</f>
        <v/>
      </c>
      <c r="E36" s="62">
        <f>IFERROR(ROUND(AVERAGEIF($E$9:$E$20,A36,$F$9:$F$20),1),"-")</f>
        <v/>
      </c>
      <c r="F36" s="27" t="n"/>
      <c r="G36" s="63" t="inlineStr"/>
    </row>
    <row r="38" ht="28" customHeight="1">
      <c r="A38" s="69" t="inlineStr">
        <is>
          <t>★ 私が消耗しやすい条件 TOP5</t>
        </is>
      </c>
    </row>
    <row r="39" ht="21.05" customHeight="1">
      <c r="A39" s="25" t="inlineStr">
        <is>
          <t>「どんな条件のとき、私は消耗するのか」を一文で書きます。→ 11_私の働き方の取扱説明書に自動で反映されます。</t>
        </is>
      </c>
    </row>
    <row r="40" ht="30" customHeight="1">
      <c r="A40" s="57" t="inlineStr">
        <is>
          <t>順位</t>
        </is>
      </c>
      <c r="B40" s="57" t="inlineStr">
        <is>
          <t>私が消耗しやすい条件</t>
        </is>
      </c>
      <c r="C40" s="28" t="n"/>
      <c r="D40" s="27" t="n"/>
      <c r="E40" s="57" t="inlineStr">
        <is>
          <t>具体的にはどんなとき？</t>
        </is>
      </c>
      <c r="F40" s="28" t="n"/>
      <c r="G40" s="27" t="n"/>
    </row>
    <row r="41" ht="34" customHeight="1">
      <c r="A41" s="58" t="inlineStr">
        <is>
          <t>例</t>
        </is>
      </c>
      <c r="B41" s="59" t="inlineStr">
        <is>
          <t>急ぎの依頼が重なり、マルチタスクになるとき</t>
        </is>
      </c>
      <c r="C41" s="28" t="n"/>
      <c r="D41" s="27" t="n"/>
      <c r="E41" s="59" t="inlineStr">
        <is>
          <t>朝イチの依頼と電話対応が重なる月曜の午前中</t>
        </is>
      </c>
      <c r="F41" s="28" t="n"/>
      <c r="G41" s="27" t="n"/>
    </row>
    <row r="42" ht="34" customHeight="1">
      <c r="A42" s="76" t="n">
        <v>1</v>
      </c>
      <c r="B42" s="64" t="n"/>
      <c r="C42" s="28" t="n"/>
      <c r="D42" s="27" t="n"/>
      <c r="E42" s="64" t="n"/>
      <c r="F42" s="28" t="n"/>
      <c r="G42" s="27" t="n"/>
    </row>
    <row r="43" ht="34" customHeight="1">
      <c r="A43" s="76" t="n">
        <v>2</v>
      </c>
      <c r="B43" s="64" t="n"/>
      <c r="C43" s="28" t="n"/>
      <c r="D43" s="27" t="n"/>
      <c r="E43" s="64" t="n"/>
      <c r="F43" s="28" t="n"/>
      <c r="G43" s="27" t="n"/>
    </row>
    <row r="44" ht="34" customHeight="1">
      <c r="A44" s="76" t="n">
        <v>3</v>
      </c>
      <c r="B44" s="64" t="n"/>
      <c r="C44" s="28" t="n"/>
      <c r="D44" s="27" t="n"/>
      <c r="E44" s="64" t="n"/>
      <c r="F44" s="28" t="n"/>
      <c r="G44" s="27" t="n"/>
    </row>
    <row r="45" ht="34" customHeight="1">
      <c r="A45" s="76" t="n">
        <v>4</v>
      </c>
      <c r="B45" s="64" t="n"/>
      <c r="C45" s="28" t="n"/>
      <c r="D45" s="27" t="n"/>
      <c r="E45" s="64" t="n"/>
      <c r="F45" s="28" t="n"/>
      <c r="G45" s="27" t="n"/>
    </row>
    <row r="46" ht="34" customHeight="1">
      <c r="A46" s="76" t="n">
        <v>5</v>
      </c>
      <c r="B46" s="64" t="n"/>
      <c r="C46" s="28" t="n"/>
      <c r="D46" s="27" t="n"/>
      <c r="E46" s="64" t="n"/>
      <c r="F46" s="28" t="n"/>
      <c r="G46" s="27" t="n"/>
    </row>
  </sheetData>
  <mergeCells count="49">
    <mergeCell ref="A25:C25"/>
    <mergeCell ref="B42:D42"/>
    <mergeCell ref="E24:F24"/>
    <mergeCell ref="A22:G22"/>
    <mergeCell ref="E33:F33"/>
    <mergeCell ref="A27:C27"/>
    <mergeCell ref="A38:G38"/>
    <mergeCell ref="E40:G40"/>
    <mergeCell ref="B44:D44"/>
    <mergeCell ref="A26:C26"/>
    <mergeCell ref="E35:F35"/>
    <mergeCell ref="E46:G46"/>
    <mergeCell ref="A33:C33"/>
    <mergeCell ref="E29:F29"/>
    <mergeCell ref="A32:C32"/>
    <mergeCell ref="E45:G45"/>
    <mergeCell ref="A39:G39"/>
    <mergeCell ref="B40:D40"/>
    <mergeCell ref="E28:F28"/>
    <mergeCell ref="A29:C29"/>
    <mergeCell ref="A35:C35"/>
    <mergeCell ref="E31:F31"/>
    <mergeCell ref="E34:F34"/>
    <mergeCell ref="A28:C28"/>
    <mergeCell ref="A1:G1"/>
    <mergeCell ref="E30:F30"/>
    <mergeCell ref="E41:G41"/>
    <mergeCell ref="E44:G44"/>
    <mergeCell ref="B45:D45"/>
    <mergeCell ref="B41:D41"/>
    <mergeCell ref="A31:C31"/>
    <mergeCell ref="D4:G4"/>
    <mergeCell ref="E27:F27"/>
    <mergeCell ref="E36:F36"/>
    <mergeCell ref="A30:C30"/>
    <mergeCell ref="A34:C34"/>
    <mergeCell ref="E26:F26"/>
    <mergeCell ref="E43:G43"/>
    <mergeCell ref="A24:C24"/>
    <mergeCell ref="A4:B4"/>
    <mergeCell ref="E42:G42"/>
    <mergeCell ref="A36:C36"/>
    <mergeCell ref="E32:F32"/>
    <mergeCell ref="B46:D46"/>
    <mergeCell ref="A3:G3"/>
    <mergeCell ref="E25:F25"/>
    <mergeCell ref="A2:G2"/>
    <mergeCell ref="B43:D43"/>
    <mergeCell ref="A23:G23"/>
  </mergeCells>
  <dataValidations count="2">
    <dataValidation sqref="E9:E20" showDropDown="0" showInputMessage="1" showErrorMessage="0" allowBlank="1" prompt="リストから選択（自由入力も可）" type="list">
      <formula1>"仕事内容,仕事量,人間関係,音・環境,電話,突発対応,マルチタスク,責任,評価,残業,通勤,その他"</formula1>
    </dataValidation>
    <dataValidation sqref="F9:F20" showDropDown="0" showInputMessage="1" showErrorMessage="0" allowBlank="1" errorTitle="入力エラー" error="1〜5の整数で入力してください" prompt="1（低い）〜5（高い）" type="whole" operator="between">
      <formula1>1</formula1>
      <formula2>5</formula2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HSPの働き方ゼミ｜働き方の取扱説明書  Version：1.0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E6E9E"/>
    <outlinePr summaryBelow="1" summaryRight="1"/>
    <pageSetUpPr fitToPage="1"/>
  </sheetPr>
  <dimension ref="A1:F4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6" customWidth="1" min="3" max="3"/>
    <col width="18" customWidth="1" min="4" max="4"/>
    <col width="10" customWidth="1" min="5" max="5"/>
    <col width="30" customWidth="1" min="6" max="6"/>
  </cols>
  <sheetData>
    <row r="1" ht="36" customHeight="1">
      <c r="A1" s="50" t="inlineStr">
        <is>
          <t>STEP1｜自分を知る　03 働きやすい条件</t>
        </is>
      </c>
    </row>
    <row r="2" ht="26" customHeight="1">
      <c r="A2" s="51" t="inlineStr">
        <is>
          <t>目的：私はどんな環境なら働きやすいのか？を明確にする</t>
        </is>
      </c>
    </row>
    <row r="3" ht="51.5" customHeight="1">
      <c r="A3" s="52" t="inlineStr">
        <is>
          <t>① 「この日は気持ちよく働けた」「この仕事はやりやすかった」場面を書き出します（今の職場・過去の職場・アルバイトなど何でもOK）。
② 何が良かったのかを考え、「条件」をドロップダウンから選び（自由入力も可）、自分にとっての重要度を1〜5で記入します。
③ 下の集計を参考に、「私が働きやすい条件 TOP5」をまとめます。</t>
        </is>
      </c>
    </row>
    <row r="4" ht="22" customHeight="1">
      <c r="A4" s="53" t="inlineStr">
        <is>
          <t>■ 黄色＝あなたの記入欄</t>
        </is>
      </c>
      <c r="B4" s="27" t="n"/>
      <c r="C4" s="54" t="inlineStr">
        <is>
          <t>■ グレー＝記入例</t>
        </is>
      </c>
      <c r="D4" s="55" t="inlineStr">
        <is>
          <t>所要時間の目安：約20分　／　記入例は消さずに残してOK。行が足りなければ、記入欄の行をコピーして増やせます。</t>
        </is>
      </c>
    </row>
    <row r="6" ht="34" customHeight="1">
      <c r="A6" s="56" t="inlineStr">
        <is>
          <t>No.</t>
        </is>
      </c>
      <c r="B6" s="56" t="inlineStr">
        <is>
          <t>働きやすかった場面</t>
        </is>
      </c>
      <c r="C6" s="56" t="inlineStr">
        <is>
          <t>何が良かった？</t>
        </is>
      </c>
      <c r="D6" s="56" t="inlineStr">
        <is>
          <t>条件</t>
        </is>
      </c>
      <c r="E6" s="56" t="inlineStr">
        <is>
          <t>重要度
1〜5</t>
        </is>
      </c>
      <c r="F6" s="56" t="inlineStr">
        <is>
          <t>今の職場で増やせそう？（メモ）</t>
        </is>
      </c>
    </row>
    <row r="7" ht="46" customHeight="1">
      <c r="A7" s="58" t="inlineStr">
        <is>
          <t>例</t>
        </is>
      </c>
      <c r="B7" s="59" t="inlineStr">
        <is>
          <t>在宅勤務の日に企画書を作った</t>
        </is>
      </c>
      <c r="C7" s="59" t="inlineStr">
        <is>
          <t>誰にも話しかけられず、2時間集中できた。疲れ方が全然違った</t>
        </is>
      </c>
      <c r="D7" s="58" t="inlineStr">
        <is>
          <t>リモートワーク</t>
        </is>
      </c>
      <c r="E7" s="58" t="n">
        <v>5</v>
      </c>
      <c r="F7" s="59" t="inlineStr">
        <is>
          <t>週1回の在宅を週2回にできないか上司に聞いてみる</t>
        </is>
      </c>
    </row>
    <row r="8" ht="46" customHeight="1">
      <c r="A8" s="58" t="inlineStr">
        <is>
          <t>例</t>
        </is>
      </c>
      <c r="B8" s="59" t="inlineStr">
        <is>
          <t>新人研修の資料づくり</t>
        </is>
      </c>
      <c r="C8" s="59" t="inlineStr">
        <is>
          <t>目的と期限がはっきり伝えられ、進め方は任せてもらえた</t>
        </is>
      </c>
      <c r="D8" s="58" t="inlineStr">
        <is>
          <t>裁量がある</t>
        </is>
      </c>
      <c r="E8" s="58" t="n">
        <v>4</v>
      </c>
      <c r="F8" s="59" t="inlineStr">
        <is>
          <t>依頼を受けるときに、目的と期限を必ず確認する</t>
        </is>
      </c>
    </row>
    <row r="9" ht="40" customHeight="1">
      <c r="A9" s="62" t="n">
        <v>1</v>
      </c>
      <c r="B9" s="74" t="n"/>
      <c r="C9" s="74" t="n"/>
      <c r="D9" s="75" t="n"/>
      <c r="E9" s="75" t="n"/>
      <c r="F9" s="74" t="n"/>
    </row>
    <row r="10" ht="40" customHeight="1">
      <c r="A10" s="62" t="n">
        <v>2</v>
      </c>
      <c r="B10" s="74" t="n"/>
      <c r="C10" s="74" t="n"/>
      <c r="D10" s="75" t="n"/>
      <c r="E10" s="75" t="n"/>
      <c r="F10" s="74" t="n"/>
    </row>
    <row r="11" ht="40" customHeight="1">
      <c r="A11" s="62" t="n">
        <v>3</v>
      </c>
      <c r="B11" s="74" t="n"/>
      <c r="C11" s="74" t="n"/>
      <c r="D11" s="75" t="n"/>
      <c r="E11" s="75" t="n"/>
      <c r="F11" s="74" t="n"/>
    </row>
    <row r="12" ht="40" customHeight="1">
      <c r="A12" s="62" t="n">
        <v>4</v>
      </c>
      <c r="B12" s="74" t="n"/>
      <c r="C12" s="74" t="n"/>
      <c r="D12" s="75" t="n"/>
      <c r="E12" s="75" t="n"/>
      <c r="F12" s="74" t="n"/>
    </row>
    <row r="13" ht="40" customHeight="1">
      <c r="A13" s="62" t="n">
        <v>5</v>
      </c>
      <c r="B13" s="74" t="n"/>
      <c r="C13" s="74" t="n"/>
      <c r="D13" s="75" t="n"/>
      <c r="E13" s="75" t="n"/>
      <c r="F13" s="74" t="n"/>
    </row>
    <row r="14" ht="40" customHeight="1">
      <c r="A14" s="62" t="n">
        <v>6</v>
      </c>
      <c r="B14" s="74" t="n"/>
      <c r="C14" s="74" t="n"/>
      <c r="D14" s="75" t="n"/>
      <c r="E14" s="75" t="n"/>
      <c r="F14" s="74" t="n"/>
    </row>
    <row r="15" ht="40" customHeight="1">
      <c r="A15" s="62" t="n">
        <v>7</v>
      </c>
      <c r="B15" s="74" t="n"/>
      <c r="C15" s="74" t="n"/>
      <c r="D15" s="75" t="n"/>
      <c r="E15" s="75" t="n"/>
      <c r="F15" s="74" t="n"/>
    </row>
    <row r="16" ht="40" customHeight="1">
      <c r="A16" s="62" t="n">
        <v>8</v>
      </c>
      <c r="B16" s="74" t="n"/>
      <c r="C16" s="74" t="n"/>
      <c r="D16" s="75" t="n"/>
      <c r="E16" s="75" t="n"/>
      <c r="F16" s="74" t="n"/>
    </row>
    <row r="17" ht="40" customHeight="1">
      <c r="A17" s="62" t="n">
        <v>9</v>
      </c>
      <c r="B17" s="74" t="n"/>
      <c r="C17" s="74" t="n"/>
      <c r="D17" s="75" t="n"/>
      <c r="E17" s="75" t="n"/>
      <c r="F17" s="74" t="n"/>
    </row>
    <row r="18" ht="40" customHeight="1">
      <c r="A18" s="62" t="n">
        <v>10</v>
      </c>
      <c r="B18" s="74" t="n"/>
      <c r="C18" s="74" t="n"/>
      <c r="D18" s="75" t="n"/>
      <c r="E18" s="75" t="n"/>
      <c r="F18" s="74" t="n"/>
    </row>
    <row r="19" ht="40" customHeight="1">
      <c r="A19" s="62" t="n">
        <v>11</v>
      </c>
      <c r="B19" s="74" t="n"/>
      <c r="C19" s="74" t="n"/>
      <c r="D19" s="75" t="n"/>
      <c r="E19" s="75" t="n"/>
      <c r="F19" s="74" t="n"/>
    </row>
    <row r="20" ht="40" customHeight="1">
      <c r="A20" s="62" t="n">
        <v>12</v>
      </c>
      <c r="B20" s="74" t="n"/>
      <c r="C20" s="74" t="n"/>
      <c r="D20" s="75" t="n"/>
      <c r="E20" s="75" t="n"/>
      <c r="F20" s="74" t="n"/>
    </row>
    <row r="22" ht="28" customHeight="1">
      <c r="A22" s="69" t="inlineStr">
        <is>
          <t>働きやすい条件の集計（TOP5を考えるヒント）</t>
        </is>
      </c>
    </row>
    <row r="23" ht="21.05" customHeight="1">
      <c r="A23" s="25" t="inlineStr">
        <is>
          <t>何度も出てくる条件・重要度が高い条件が、あなたの「働きやすさの土台」の候補です。</t>
        </is>
      </c>
    </row>
    <row r="24" ht="30" customHeight="1">
      <c r="A24" s="57" t="inlineStr">
        <is>
          <t>条件</t>
        </is>
      </c>
      <c r="B24" s="27" t="n"/>
      <c r="C24" s="57" t="inlineStr">
        <is>
          <t>記録した回数</t>
        </is>
      </c>
      <c r="D24" s="57" t="inlineStr">
        <is>
          <t>重要度の平均</t>
        </is>
      </c>
      <c r="E24" s="27" t="n"/>
      <c r="F24" s="57" t="inlineStr"/>
    </row>
    <row r="25" ht="20" customHeight="1">
      <c r="A25" s="63" t="inlineStr">
        <is>
          <t>静かな環境</t>
        </is>
      </c>
      <c r="B25" s="27" t="n"/>
      <c r="C25" s="62">
        <f>COUNTIF($D$9:$D$20,A25)</f>
        <v/>
      </c>
      <c r="D25" s="62">
        <f>IFERROR(ROUND(AVERAGEIF($D$9:$D$20,A25,$E$9:$E$20),1),"-")</f>
        <v/>
      </c>
      <c r="E25" s="27" t="n"/>
      <c r="F25" s="63" t="inlineStr"/>
    </row>
    <row r="26" ht="20" customHeight="1">
      <c r="A26" s="63" t="inlineStr">
        <is>
          <t>一人で集中する時間</t>
        </is>
      </c>
      <c r="B26" s="27" t="n"/>
      <c r="C26" s="62">
        <f>COUNTIF($D$9:$D$20,A26)</f>
        <v/>
      </c>
      <c r="D26" s="62">
        <f>IFERROR(ROUND(AVERAGEIF($D$9:$D$20,A26,$E$9:$E$20),1),"-")</f>
        <v/>
      </c>
      <c r="E26" s="27" t="n"/>
      <c r="F26" s="63" t="inlineStr"/>
    </row>
    <row r="27" ht="20" customHeight="1">
      <c r="A27" s="63" t="inlineStr">
        <is>
          <t>明確な指示</t>
        </is>
      </c>
      <c r="B27" s="27" t="n"/>
      <c r="C27" s="62">
        <f>COUNTIF($D$9:$D$20,A27)</f>
        <v/>
      </c>
      <c r="D27" s="62">
        <f>IFERROR(ROUND(AVERAGEIF($D$9:$D$20,A27,$E$9:$E$20),1),"-")</f>
        <v/>
      </c>
      <c r="E27" s="27" t="n"/>
      <c r="F27" s="63" t="inlineStr"/>
    </row>
    <row r="28" ht="20" customHeight="1">
      <c r="A28" s="63" t="inlineStr">
        <is>
          <t>裁量がある</t>
        </is>
      </c>
      <c r="B28" s="27" t="n"/>
      <c r="C28" s="62">
        <f>COUNTIF($D$9:$D$20,A28)</f>
        <v/>
      </c>
      <c r="D28" s="62">
        <f>IFERROR(ROUND(AVERAGEIF($D$9:$D$20,A28,$E$9:$E$20),1),"-")</f>
        <v/>
      </c>
      <c r="E28" s="27" t="n"/>
      <c r="F28" s="63" t="inlineStr"/>
    </row>
    <row r="29" ht="20" customHeight="1">
      <c r="A29" s="63" t="inlineStr">
        <is>
          <t>残業が少ない</t>
        </is>
      </c>
      <c r="B29" s="27" t="n"/>
      <c r="C29" s="62">
        <f>COUNTIF($D$9:$D$20,A29)</f>
        <v/>
      </c>
      <c r="D29" s="62">
        <f>IFERROR(ROUND(AVERAGEIF($D$9:$D$20,A29,$E$9:$E$20),1),"-")</f>
        <v/>
      </c>
      <c r="E29" s="27" t="n"/>
      <c r="F29" s="63" t="inlineStr"/>
    </row>
    <row r="30" ht="20" customHeight="1">
      <c r="A30" s="63" t="inlineStr">
        <is>
          <t>人間関係が穏やか</t>
        </is>
      </c>
      <c r="B30" s="27" t="n"/>
      <c r="C30" s="62">
        <f>COUNTIF($D$9:$D$20,A30)</f>
        <v/>
      </c>
      <c r="D30" s="62">
        <f>IFERROR(ROUND(AVERAGEIF($D$9:$D$20,A30,$E$9:$E$20),1),"-")</f>
        <v/>
      </c>
      <c r="E30" s="27" t="n"/>
      <c r="F30" s="63" t="inlineStr"/>
    </row>
    <row r="31" ht="20" customHeight="1">
      <c r="A31" s="63" t="inlineStr">
        <is>
          <t>電話が少ない</t>
        </is>
      </c>
      <c r="B31" s="27" t="n"/>
      <c r="C31" s="62">
        <f>COUNTIF($D$9:$D$20,A31)</f>
        <v/>
      </c>
      <c r="D31" s="62">
        <f>IFERROR(ROUND(AVERAGEIF($D$9:$D$20,A31,$E$9:$E$20),1),"-")</f>
        <v/>
      </c>
      <c r="E31" s="27" t="n"/>
      <c r="F31" s="63" t="inlineStr"/>
    </row>
    <row r="32" ht="20" customHeight="1">
      <c r="A32" s="63" t="inlineStr">
        <is>
          <t>リモートワーク</t>
        </is>
      </c>
      <c r="B32" s="27" t="n"/>
      <c r="C32" s="62">
        <f>COUNTIF($D$9:$D$20,A32)</f>
        <v/>
      </c>
      <c r="D32" s="62">
        <f>IFERROR(ROUND(AVERAGEIF($D$9:$D$20,A32,$E$9:$E$20),1),"-")</f>
        <v/>
      </c>
      <c r="E32" s="27" t="n"/>
      <c r="F32" s="63" t="inlineStr"/>
    </row>
    <row r="33" ht="20" customHeight="1">
      <c r="A33" s="63" t="inlineStr">
        <is>
          <t>通勤時間が短い</t>
        </is>
      </c>
      <c r="B33" s="27" t="n"/>
      <c r="C33" s="62">
        <f>COUNTIF($D$9:$D$20,A33)</f>
        <v/>
      </c>
      <c r="D33" s="62">
        <f>IFERROR(ROUND(AVERAGEIF($D$9:$D$20,A33,$E$9:$E$20),1),"-")</f>
        <v/>
      </c>
      <c r="E33" s="27" t="n"/>
      <c r="F33" s="63" t="inlineStr"/>
    </row>
    <row r="34" ht="20" customHeight="1">
      <c r="A34" s="63" t="inlineStr">
        <is>
          <t>突発対応が少ない</t>
        </is>
      </c>
      <c r="B34" s="27" t="n"/>
      <c r="C34" s="62">
        <f>COUNTIF($D$9:$D$20,A34)</f>
        <v/>
      </c>
      <c r="D34" s="62">
        <f>IFERROR(ROUND(AVERAGEIF($D$9:$D$20,A34,$E$9:$E$20),1),"-")</f>
        <v/>
      </c>
      <c r="E34" s="27" t="n"/>
      <c r="F34" s="63" t="inlineStr"/>
    </row>
    <row r="35" ht="20" customHeight="1">
      <c r="A35" s="63" t="inlineStr">
        <is>
          <t>仕事量が一定</t>
        </is>
      </c>
      <c r="B35" s="27" t="n"/>
      <c r="C35" s="62">
        <f>COUNTIF($D$9:$D$20,A35)</f>
        <v/>
      </c>
      <c r="D35" s="62">
        <f>IFERROR(ROUND(AVERAGEIF($D$9:$D$20,A35,$E$9:$E$20),1),"-")</f>
        <v/>
      </c>
      <c r="E35" s="27" t="n"/>
      <c r="F35" s="63" t="inlineStr"/>
    </row>
    <row r="36" ht="20" customHeight="1">
      <c r="A36" s="63" t="inlineStr">
        <is>
          <t>評価基準が明確</t>
        </is>
      </c>
      <c r="B36" s="27" t="n"/>
      <c r="C36" s="62">
        <f>COUNTIF($D$9:$D$20,A36)</f>
        <v/>
      </c>
      <c r="D36" s="62">
        <f>IFERROR(ROUND(AVERAGEIF($D$9:$D$20,A36,$E$9:$E$20),1),"-")</f>
        <v/>
      </c>
      <c r="E36" s="27" t="n"/>
      <c r="F36" s="63" t="inlineStr"/>
    </row>
    <row r="37" ht="20" customHeight="1">
      <c r="A37" s="63" t="inlineStr">
        <is>
          <t>その他</t>
        </is>
      </c>
      <c r="B37" s="27" t="n"/>
      <c r="C37" s="62">
        <f>COUNTIF($D$9:$D$20,A37)</f>
        <v/>
      </c>
      <c r="D37" s="62">
        <f>IFERROR(ROUND(AVERAGEIF($D$9:$D$20,A37,$E$9:$E$20),1),"-")</f>
        <v/>
      </c>
      <c r="E37" s="27" t="n"/>
      <c r="F37" s="63" t="inlineStr"/>
    </row>
    <row r="39" ht="28" customHeight="1">
      <c r="A39" s="69" t="inlineStr">
        <is>
          <t>★ 私が働きやすい条件 TOP5</t>
        </is>
      </c>
    </row>
    <row r="40" ht="21.05" customHeight="1">
      <c r="A40" s="25" t="inlineStr">
        <is>
          <t>「この条件があると、私は力を発揮しやすい」を一文で書きます。→ 11_私の働き方の取扱説明書に自動で反映されます。</t>
        </is>
      </c>
    </row>
    <row r="41" ht="30" customHeight="1">
      <c r="A41" s="57" t="inlineStr">
        <is>
          <t>順位</t>
        </is>
      </c>
      <c r="B41" s="57" t="inlineStr">
        <is>
          <t>私が働きやすい条件</t>
        </is>
      </c>
      <c r="C41" s="27" t="n"/>
      <c r="D41" s="57" t="inlineStr">
        <is>
          <t>なぜ大事？（具体例）</t>
        </is>
      </c>
      <c r="E41" s="28" t="n"/>
      <c r="F41" s="27" t="n"/>
    </row>
    <row r="42" ht="34" customHeight="1">
      <c r="A42" s="58" t="inlineStr">
        <is>
          <t>例</t>
        </is>
      </c>
      <c r="B42" s="59" t="inlineStr">
        <is>
          <t>一人で集中できる時間が、1日のうちに2時間以上ある</t>
        </is>
      </c>
      <c r="C42" s="27" t="n"/>
      <c r="D42" s="59" t="inlineStr">
        <is>
          <t>中断されないと、同じ仕事でも疲れ方が半分くらいになる</t>
        </is>
      </c>
      <c r="E42" s="28" t="n"/>
      <c r="F42" s="27" t="n"/>
    </row>
    <row r="43" ht="34" customHeight="1">
      <c r="A43" s="76" t="n">
        <v>1</v>
      </c>
      <c r="B43" s="64" t="n"/>
      <c r="C43" s="27" t="n"/>
      <c r="D43" s="64" t="n"/>
      <c r="E43" s="28" t="n"/>
      <c r="F43" s="27" t="n"/>
    </row>
    <row r="44" ht="34" customHeight="1">
      <c r="A44" s="76" t="n">
        <v>2</v>
      </c>
      <c r="B44" s="64" t="n"/>
      <c r="C44" s="27" t="n"/>
      <c r="D44" s="64" t="n"/>
      <c r="E44" s="28" t="n"/>
      <c r="F44" s="27" t="n"/>
    </row>
    <row r="45" ht="34" customHeight="1">
      <c r="A45" s="76" t="n">
        <v>3</v>
      </c>
      <c r="B45" s="64" t="n"/>
      <c r="C45" s="27" t="n"/>
      <c r="D45" s="64" t="n"/>
      <c r="E45" s="28" t="n"/>
      <c r="F45" s="27" t="n"/>
    </row>
    <row r="46" ht="34" customHeight="1">
      <c r="A46" s="76" t="n">
        <v>4</v>
      </c>
      <c r="B46" s="64" t="n"/>
      <c r="C46" s="27" t="n"/>
      <c r="D46" s="64" t="n"/>
      <c r="E46" s="28" t="n"/>
      <c r="F46" s="27" t="n"/>
    </row>
    <row r="47" ht="34" customHeight="1">
      <c r="A47" s="76" t="n">
        <v>5</v>
      </c>
      <c r="B47" s="64" t="n"/>
      <c r="C47" s="27" t="n"/>
      <c r="D47" s="64" t="n"/>
      <c r="E47" s="28" t="n"/>
      <c r="F47" s="27" t="n"/>
    </row>
  </sheetData>
  <mergeCells count="51">
    <mergeCell ref="A31:B31"/>
    <mergeCell ref="A24:B24"/>
    <mergeCell ref="A30:B30"/>
    <mergeCell ref="B47:C47"/>
    <mergeCell ref="D41:F41"/>
    <mergeCell ref="D34:E34"/>
    <mergeCell ref="B46:C46"/>
    <mergeCell ref="A36:B36"/>
    <mergeCell ref="A3:F3"/>
    <mergeCell ref="D31:E31"/>
    <mergeCell ref="D36:E36"/>
    <mergeCell ref="D47:F47"/>
    <mergeCell ref="D43:F43"/>
    <mergeCell ref="B43:C43"/>
    <mergeCell ref="A2:F2"/>
    <mergeCell ref="A25:B25"/>
    <mergeCell ref="D35:E35"/>
    <mergeCell ref="D4:F4"/>
    <mergeCell ref="A23:F23"/>
    <mergeCell ref="D27:E27"/>
    <mergeCell ref="A37:B37"/>
    <mergeCell ref="B42:C42"/>
    <mergeCell ref="A22:F22"/>
    <mergeCell ref="D32:E32"/>
    <mergeCell ref="A27:B27"/>
    <mergeCell ref="D42:F42"/>
    <mergeCell ref="A26:B26"/>
    <mergeCell ref="B44:C44"/>
    <mergeCell ref="A33:B33"/>
    <mergeCell ref="D37:E37"/>
    <mergeCell ref="A32:B32"/>
    <mergeCell ref="D28:E28"/>
    <mergeCell ref="A40:F40"/>
    <mergeCell ref="D44:F44"/>
    <mergeCell ref="A39:F39"/>
    <mergeCell ref="A35:B35"/>
    <mergeCell ref="A4:B4"/>
    <mergeCell ref="D25:E25"/>
    <mergeCell ref="D24:E24"/>
    <mergeCell ref="A29:B29"/>
    <mergeCell ref="D30:E30"/>
    <mergeCell ref="D33:E33"/>
    <mergeCell ref="A1:F1"/>
    <mergeCell ref="D29:E29"/>
    <mergeCell ref="D46:F46"/>
    <mergeCell ref="A28:B28"/>
    <mergeCell ref="B45:C45"/>
    <mergeCell ref="D45:F45"/>
    <mergeCell ref="B41:C41"/>
    <mergeCell ref="D26:E26"/>
    <mergeCell ref="A34:B34"/>
  </mergeCells>
  <dataValidations count="2">
    <dataValidation sqref="D9:D20" showDropDown="0" showInputMessage="1" showErrorMessage="0" allowBlank="1" prompt="リストから選択（自由入力も可）" type="list">
      <formula1>"静かな環境,一人で集中する時間,明確な指示,裁量がある,残業が少ない,人間関係が穏やか,電話が少ない,リモートワーク,通勤時間が短い,突発対応が少ない,仕事量が一定,評価基準が明確,その他"</formula1>
    </dataValidation>
    <dataValidation sqref="E9:E20" showDropDown="0" showInputMessage="1" showErrorMessage="0" allowBlank="1" errorTitle="入力エラー" error="1〜5の整数で入力してください" prompt="1（低い）〜5（高い）" type="whole" operator="between">
      <formula1>1</formula1>
      <formula2>5</formula2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HSPの働き方ゼミ｜働き方の取扱説明書  Version：1.0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E6E9E"/>
    <outlinePr summaryBelow="1" summaryRight="1"/>
    <pageSetUpPr fitToPage="1"/>
  </sheetPr>
  <dimension ref="A1:F2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7" customWidth="1" min="3" max="3"/>
    <col width="24" customWidth="1" min="4" max="4"/>
    <col width="24" customWidth="1" min="5" max="5"/>
    <col width="28" customWidth="1" min="6" max="6"/>
  </cols>
  <sheetData>
    <row r="1" ht="36" customHeight="1">
      <c r="A1" s="50" t="inlineStr">
        <is>
          <t>STEP1｜自分を知る　04 頑張りすぎパターン</t>
        </is>
      </c>
    </row>
    <row r="2" ht="26" customHeight="1">
      <c r="A2" s="51" t="inlineStr">
        <is>
          <t>目的：自分が無理を始めるパターンを知る</t>
        </is>
      </c>
    </row>
    <row r="3" ht="51.5" customHeight="1">
      <c r="A3" s="52" t="inlineStr">
        <is>
          <t>① 「あとから思えば無理していた」場面を思い出し、そのとき頭の中で考えていたこと・とった行動・結果を書きます。
② 責める必要はありません。「こういうとき、私はこう動きやすい」と観察するつもりで書くのがコツです。
③ 似たパターンをまとめて、「私が頑張りすぎ始める3つのパターン」に整理します。</t>
        </is>
      </c>
    </row>
    <row r="4" ht="22" customHeight="1">
      <c r="A4" s="53" t="inlineStr">
        <is>
          <t>■ 黄色＝あなたの記入欄</t>
        </is>
      </c>
      <c r="B4" s="27" t="n"/>
      <c r="C4" s="54" t="inlineStr">
        <is>
          <t>■ グレー＝記入例</t>
        </is>
      </c>
      <c r="D4" s="55" t="inlineStr">
        <is>
          <t>所要時間の目安：約20分　／　記入例は消さずに残してOK。行が足りなければ、記入欄の行をコピーして増やせます。</t>
        </is>
      </c>
    </row>
    <row r="6" ht="28" customHeight="1">
      <c r="A6" s="77" t="inlineStr">
        <is>
          <t>よくある頑張りすぎパターン（ヒント）</t>
        </is>
      </c>
    </row>
    <row r="7" ht="44" customHeight="1">
      <c r="A7" s="78" t="inlineStr">
        <is>
          <t>・頼まれると断れない　・周囲が残業していると帰れない　・期待されると無理して応えようとする
・ミスが怖くて必要以上に確認する　・評価が下がることを恐れて仕事を抱え込む</t>
        </is>
      </c>
      <c r="B7" s="28" t="n"/>
      <c r="C7" s="28" t="n"/>
      <c r="D7" s="28" t="n"/>
      <c r="E7" s="28" t="n"/>
      <c r="F7" s="27" t="n"/>
    </row>
    <row r="9" ht="30" customHeight="1">
      <c r="A9" s="56" t="inlineStr">
        <is>
          <t>No.</t>
        </is>
      </c>
      <c r="B9" s="56" t="inlineStr">
        <is>
          <t>状況</t>
        </is>
      </c>
      <c r="C9" s="56" t="inlineStr">
        <is>
          <t>そのとき考えていること</t>
        </is>
      </c>
      <c r="D9" s="56" t="inlineStr">
        <is>
          <t>とってしまう行動</t>
        </is>
      </c>
      <c r="E9" s="56" t="inlineStr">
        <is>
          <t>その結果</t>
        </is>
      </c>
      <c r="F9" s="56" t="inlineStr">
        <is>
          <t>次からどうする？</t>
        </is>
      </c>
    </row>
    <row r="10" ht="58" customHeight="1">
      <c r="A10" s="58" t="inlineStr">
        <is>
          <t>例</t>
        </is>
      </c>
      <c r="B10" s="59" t="inlineStr">
        <is>
          <t>定時直前に、上司から「明日までにお願い」と依頼された</t>
        </is>
      </c>
      <c r="C10" s="59" t="inlineStr">
        <is>
          <t>「断ったら評価が下がる」「自分がやった方が早い」</t>
        </is>
      </c>
      <c r="D10" s="59" t="inlineStr">
        <is>
          <t>その場で「大丈夫です」と引き受け、21時まで残業</t>
        </is>
      </c>
      <c r="E10" s="59" t="inlineStr">
        <is>
          <t>翌日も疲れが抜けず、集中力が落ちてミスをした</t>
        </is>
      </c>
      <c r="F10" s="59" t="inlineStr">
        <is>
          <t>その場で返事をせず「今の業務と、どちらを優先しますか？」と聞く</t>
        </is>
      </c>
    </row>
    <row r="11" ht="58" customHeight="1">
      <c r="A11" s="58" t="inlineStr">
        <is>
          <t>例</t>
        </is>
      </c>
      <c r="B11" s="59" t="inlineStr">
        <is>
          <t>周りがまだ忙しそうにしている18時</t>
        </is>
      </c>
      <c r="C11" s="59" t="inlineStr">
        <is>
          <t>「先に帰ったら、やる気がないと思われる」</t>
        </is>
      </c>
      <c r="D11" s="59" t="inlineStr">
        <is>
          <t>急ぎではない作業を探して残る</t>
        </is>
      </c>
      <c r="E11" s="59" t="inlineStr">
        <is>
          <t>家に帰っても気持ちが休まらない</t>
        </is>
      </c>
      <c r="F11" s="59" t="inlineStr">
        <is>
          <t>帰る日は朝のうちに「今日は18時に上がります」と伝えておく</t>
        </is>
      </c>
    </row>
    <row r="12" ht="48" customHeight="1">
      <c r="A12" s="62" t="n">
        <v>1</v>
      </c>
      <c r="B12" s="74" t="n"/>
      <c r="C12" s="74" t="n"/>
      <c r="D12" s="74" t="n"/>
      <c r="E12" s="74" t="n"/>
      <c r="F12" s="74" t="n"/>
    </row>
    <row r="13" ht="48" customHeight="1">
      <c r="A13" s="62" t="n">
        <v>2</v>
      </c>
      <c r="B13" s="74" t="n"/>
      <c r="C13" s="74" t="n"/>
      <c r="D13" s="74" t="n"/>
      <c r="E13" s="74" t="n"/>
      <c r="F13" s="74" t="n"/>
    </row>
    <row r="14" ht="48" customHeight="1">
      <c r="A14" s="62" t="n">
        <v>3</v>
      </c>
      <c r="B14" s="74" t="n"/>
      <c r="C14" s="74" t="n"/>
      <c r="D14" s="74" t="n"/>
      <c r="E14" s="74" t="n"/>
      <c r="F14" s="74" t="n"/>
    </row>
    <row r="15" ht="48" customHeight="1">
      <c r="A15" s="62" t="n">
        <v>4</v>
      </c>
      <c r="B15" s="74" t="n"/>
      <c r="C15" s="74" t="n"/>
      <c r="D15" s="74" t="n"/>
      <c r="E15" s="74" t="n"/>
      <c r="F15" s="74" t="n"/>
    </row>
    <row r="16" ht="48" customHeight="1">
      <c r="A16" s="62" t="n">
        <v>5</v>
      </c>
      <c r="B16" s="74" t="n"/>
      <c r="C16" s="74" t="n"/>
      <c r="D16" s="74" t="n"/>
      <c r="E16" s="74" t="n"/>
      <c r="F16" s="74" t="n"/>
    </row>
    <row r="17" ht="48" customHeight="1">
      <c r="A17" s="62" t="n">
        <v>6</v>
      </c>
      <c r="B17" s="74" t="n"/>
      <c r="C17" s="74" t="n"/>
      <c r="D17" s="74" t="n"/>
      <c r="E17" s="74" t="n"/>
      <c r="F17" s="74" t="n"/>
    </row>
    <row r="18" ht="48" customHeight="1">
      <c r="A18" s="62" t="n">
        <v>7</v>
      </c>
      <c r="B18" s="74" t="n"/>
      <c r="C18" s="74" t="n"/>
      <c r="D18" s="74" t="n"/>
      <c r="E18" s="74" t="n"/>
      <c r="F18" s="74" t="n"/>
    </row>
    <row r="19" ht="48" customHeight="1">
      <c r="A19" s="62" t="n">
        <v>8</v>
      </c>
      <c r="B19" s="74" t="n"/>
      <c r="C19" s="74" t="n"/>
      <c r="D19" s="74" t="n"/>
      <c r="E19" s="74" t="n"/>
      <c r="F19" s="74" t="n"/>
    </row>
    <row r="21" ht="28" customHeight="1">
      <c r="A21" s="69" t="inlineStr">
        <is>
          <t>★ 私が頑張りすぎ始める3つのパターン</t>
        </is>
      </c>
    </row>
    <row r="22" ht="21.05" customHeight="1">
      <c r="A22" s="25" t="inlineStr">
        <is>
          <t>「○○なとき、△△してしまう」の形で書くと分かりやすくなります。→ 11_私の働き方の取扱説明書に自動で反映されます。</t>
        </is>
      </c>
    </row>
    <row r="23" ht="30" customHeight="1">
      <c r="A23" s="57" t="inlineStr">
        <is>
          <t>No.</t>
        </is>
      </c>
      <c r="B23" s="57" t="inlineStr">
        <is>
          <t>パターン（○○なとき、△△してしまう）</t>
        </is>
      </c>
      <c r="C23" s="27" t="n"/>
      <c r="D23" s="57" t="inlineStr">
        <is>
          <t>気づくためのサイン</t>
        </is>
      </c>
      <c r="E23" s="27" t="n"/>
      <c r="F23" s="57" t="inlineStr">
        <is>
          <t>対処法・合言葉</t>
        </is>
      </c>
    </row>
    <row r="24" ht="40" customHeight="1">
      <c r="A24" s="58" t="inlineStr">
        <is>
          <t>例</t>
        </is>
      </c>
      <c r="B24" s="59" t="inlineStr">
        <is>
          <t>期待されると、キャパを超えても引き受けてしまう</t>
        </is>
      </c>
      <c r="C24" s="27" t="n"/>
      <c r="D24" s="59" t="inlineStr">
        <is>
          <t>「大丈夫です」と即答している自分に気づいたとき</t>
        </is>
      </c>
      <c r="E24" s="27" t="n"/>
      <c r="F24" s="59" t="inlineStr">
        <is>
          <t>「確認して折り返します」</t>
        </is>
      </c>
    </row>
    <row r="25" ht="44" customHeight="1">
      <c r="A25" s="76" t="n">
        <v>1</v>
      </c>
      <c r="B25" s="74" t="n"/>
      <c r="C25" s="27" t="n"/>
      <c r="D25" s="74" t="n"/>
      <c r="E25" s="27" t="n"/>
      <c r="F25" s="74" t="n"/>
    </row>
    <row r="26" ht="44" customHeight="1">
      <c r="A26" s="76" t="n">
        <v>2</v>
      </c>
      <c r="B26" s="74" t="n"/>
      <c r="C26" s="27" t="n"/>
      <c r="D26" s="74" t="n"/>
      <c r="E26" s="27" t="n"/>
      <c r="F26" s="74" t="n"/>
    </row>
    <row r="27" ht="44" customHeight="1">
      <c r="A27" s="76" t="n">
        <v>3</v>
      </c>
      <c r="B27" s="74" t="n"/>
      <c r="C27" s="27" t="n"/>
      <c r="D27" s="74" t="n"/>
      <c r="E27" s="27" t="n"/>
      <c r="F27" s="74" t="n"/>
    </row>
  </sheetData>
  <mergeCells count="19">
    <mergeCell ref="B25:C25"/>
    <mergeCell ref="B27:C27"/>
    <mergeCell ref="A3:F3"/>
    <mergeCell ref="A21:F21"/>
    <mergeCell ref="A2:F2"/>
    <mergeCell ref="D4:F4"/>
    <mergeCell ref="D27:E27"/>
    <mergeCell ref="B23:C23"/>
    <mergeCell ref="A22:F22"/>
    <mergeCell ref="A4:B4"/>
    <mergeCell ref="D25:E25"/>
    <mergeCell ref="B24:C24"/>
    <mergeCell ref="D24:E24"/>
    <mergeCell ref="A1:F1"/>
    <mergeCell ref="D23:E23"/>
    <mergeCell ref="A6:F6"/>
    <mergeCell ref="B26:C26"/>
    <mergeCell ref="D26:E26"/>
    <mergeCell ref="A7:F7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HSPの働き方ゼミ｜働き方の取扱説明書  Version：1.0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F8A6B"/>
    <outlinePr summaryBelow="1" summaryRight="1"/>
    <pageSetUpPr fitToPage="1"/>
  </sheetPr>
  <dimension ref="A1:F2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7" customWidth="1" min="3" max="3"/>
    <col width="27" customWidth="1" min="4" max="4"/>
    <col width="24" customWidth="1" min="5" max="5"/>
    <col width="26" customWidth="1" min="6" max="6"/>
  </cols>
  <sheetData>
    <row r="1" ht="36" customHeight="1">
      <c r="A1" s="79" t="inlineStr">
        <is>
          <t>STEP2｜今を整える　05 変えられること・変えられないこと</t>
        </is>
      </c>
    </row>
    <row r="2" ht="26" customHeight="1">
      <c r="A2" s="80" t="inlineStr">
        <is>
          <t>目的：今の職場で改善できることを整理する（今の職場でもう少しラクに働けないか？）</t>
        </is>
      </c>
    </row>
    <row r="3" ht="66" customHeight="1">
      <c r="A3" s="52" t="inlineStr">
        <is>
          <t>① STEP1で見えた消耗ポイントや悩みを「悩み・問題」に書きます。
② それぞれについて「自分で変えられる部分」「相談すれば変わる可能性がある部分」「自分では変えにくい部分」に分けて書きます。1つの悩みを3つに分解するイメージです。
③ 最後に「今月まず変えてみること」を1〜3個だけ選びます。全部を一度に変えようとしなくて大丈夫です。</t>
        </is>
      </c>
    </row>
    <row r="4" ht="22" customHeight="1">
      <c r="A4" s="53" t="inlineStr">
        <is>
          <t>■ 黄色＝あなたの記入欄</t>
        </is>
      </c>
      <c r="B4" s="27" t="n"/>
      <c r="C4" s="54" t="inlineStr">
        <is>
          <t>■ グレー＝記入例</t>
        </is>
      </c>
      <c r="D4" s="55" t="inlineStr">
        <is>
          <t>所要時間の目安：約20分　／　記入例は消さずに残してOK。行が足りなければ、記入欄の行をコピーして増やせます。</t>
        </is>
      </c>
    </row>
    <row r="6" ht="24" customHeight="1">
      <c r="A6" s="81" t="inlineStr">
        <is>
          <t>考えるテーマの例：仕事の進め方／仕事量／上司との関係／部署／通勤／会社文化／給与制度／残業／座席／電話対応／業務内容</t>
        </is>
      </c>
      <c r="B6" s="28" t="n"/>
      <c r="C6" s="28" t="n"/>
      <c r="D6" s="28" t="n"/>
      <c r="E6" s="28" t="n"/>
      <c r="F6" s="27" t="n"/>
    </row>
    <row r="8" ht="34" customHeight="1">
      <c r="A8" s="82" t="inlineStr">
        <is>
          <t>No.</t>
        </is>
      </c>
      <c r="B8" s="82" t="inlineStr">
        <is>
          <t>悩み・問題</t>
        </is>
      </c>
      <c r="C8" s="83" t="inlineStr">
        <is>
          <t>自分で変えられる</t>
        </is>
      </c>
      <c r="D8" s="84" t="inlineStr">
        <is>
          <t>相談すれば
変わる可能性あり</t>
        </is>
      </c>
      <c r="E8" s="85" t="inlineStr">
        <is>
          <t>自分では変えにくい</t>
        </is>
      </c>
      <c r="F8" s="82" t="inlineStr">
        <is>
          <t>次のアクション</t>
        </is>
      </c>
    </row>
    <row r="9" ht="46" customHeight="1">
      <c r="A9" s="58" t="inlineStr">
        <is>
          <t>例</t>
        </is>
      </c>
      <c r="B9" s="59" t="inlineStr">
        <is>
          <t>仕事量が多い</t>
        </is>
      </c>
      <c r="C9" s="59" t="inlineStr">
        <is>
          <t>毎朝タスクを書き出し、優先順位をつけてから着手する</t>
        </is>
      </c>
      <c r="D9" s="59" t="inlineStr">
        <is>
          <t>業務量の偏りを上司に相談する</t>
        </is>
      </c>
      <c r="E9" s="59" t="inlineStr">
        <is>
          <t>繁忙期の業務量そのもの</t>
        </is>
      </c>
      <c r="F9" s="59" t="inlineStr">
        <is>
          <t>来週の1on1で業務一覧を見せて相談</t>
        </is>
      </c>
    </row>
    <row r="10" ht="46" customHeight="1">
      <c r="A10" s="58" t="inlineStr">
        <is>
          <t>例</t>
        </is>
      </c>
      <c r="B10" s="59" t="inlineStr">
        <is>
          <t>電話対応で集中が途切れる</t>
        </is>
      </c>
      <c r="C10" s="59" t="inlineStr">
        <is>
          <t>電話のあとに5分だけメモの時間をとる</t>
        </is>
      </c>
      <c r="D10" s="59" t="inlineStr">
        <is>
          <t>電話当番を輪番制にできないか提案する</t>
        </is>
      </c>
      <c r="E10" s="59" t="inlineStr">
        <is>
          <t>部署として電話窓口であること</t>
        </is>
      </c>
      <c r="F10" s="59" t="inlineStr">
        <is>
          <t>チームミーティングで当番制を提案</t>
        </is>
      </c>
    </row>
    <row r="11" ht="46" customHeight="1">
      <c r="A11" s="62" t="n">
        <v>1</v>
      </c>
      <c r="B11" s="74" t="n"/>
      <c r="C11" s="74" t="n"/>
      <c r="D11" s="74" t="n"/>
      <c r="E11" s="74" t="n"/>
      <c r="F11" s="74" t="n"/>
    </row>
    <row r="12" ht="46" customHeight="1">
      <c r="A12" s="62" t="n">
        <v>2</v>
      </c>
      <c r="B12" s="74" t="n"/>
      <c r="C12" s="74" t="n"/>
      <c r="D12" s="74" t="n"/>
      <c r="E12" s="74" t="n"/>
      <c r="F12" s="74" t="n"/>
    </row>
    <row r="13" ht="46" customHeight="1">
      <c r="A13" s="62" t="n">
        <v>3</v>
      </c>
      <c r="B13" s="74" t="n"/>
      <c r="C13" s="74" t="n"/>
      <c r="D13" s="74" t="n"/>
      <c r="E13" s="74" t="n"/>
      <c r="F13" s="74" t="n"/>
    </row>
    <row r="14" ht="46" customHeight="1">
      <c r="A14" s="62" t="n">
        <v>4</v>
      </c>
      <c r="B14" s="74" t="n"/>
      <c r="C14" s="74" t="n"/>
      <c r="D14" s="74" t="n"/>
      <c r="E14" s="74" t="n"/>
      <c r="F14" s="74" t="n"/>
    </row>
    <row r="15" ht="46" customHeight="1">
      <c r="A15" s="62" t="n">
        <v>5</v>
      </c>
      <c r="B15" s="74" t="n"/>
      <c r="C15" s="74" t="n"/>
      <c r="D15" s="74" t="n"/>
      <c r="E15" s="74" t="n"/>
      <c r="F15" s="74" t="n"/>
    </row>
    <row r="16" ht="46" customHeight="1">
      <c r="A16" s="62" t="n">
        <v>6</v>
      </c>
      <c r="B16" s="74" t="n"/>
      <c r="C16" s="74" t="n"/>
      <c r="D16" s="74" t="n"/>
      <c r="E16" s="74" t="n"/>
      <c r="F16" s="74" t="n"/>
    </row>
    <row r="17" ht="46" customHeight="1">
      <c r="A17" s="62" t="n">
        <v>7</v>
      </c>
      <c r="B17" s="74" t="n"/>
      <c r="C17" s="74" t="n"/>
      <c r="D17" s="74" t="n"/>
      <c r="E17" s="74" t="n"/>
      <c r="F17" s="74" t="n"/>
    </row>
    <row r="18" ht="46" customHeight="1">
      <c r="A18" s="62" t="n">
        <v>8</v>
      </c>
      <c r="B18" s="74" t="n"/>
      <c r="C18" s="74" t="n"/>
      <c r="D18" s="74" t="n"/>
      <c r="E18" s="74" t="n"/>
      <c r="F18" s="74" t="n"/>
    </row>
    <row r="20" ht="28" customHeight="1">
      <c r="A20" s="86" t="inlineStr">
        <is>
          <t>★ 今月まず変えてみること（1〜3個）</t>
        </is>
      </c>
    </row>
    <row r="21" ht="21.05" customHeight="1">
      <c r="A21" s="25" t="inlineStr">
        <is>
          <t>「自分で変えられる」「相談すれば変わる可能性あり」の中から、小さく始められるものを選びましょう。</t>
        </is>
      </c>
    </row>
    <row r="22" ht="30" customHeight="1">
      <c r="A22" s="84" t="inlineStr">
        <is>
          <t>No.</t>
        </is>
      </c>
      <c r="B22" s="84" t="inlineStr">
        <is>
          <t>変えてみること</t>
        </is>
      </c>
      <c r="C22" s="27" t="n"/>
      <c r="D22" s="84" t="inlineStr">
        <is>
          <t>いつ・どうやって？</t>
        </is>
      </c>
      <c r="E22" s="84" t="inlineStr">
        <is>
          <t>やってみてどうだった？（月末にふり返り）</t>
        </is>
      </c>
      <c r="F22" s="27" t="n"/>
    </row>
    <row r="23" ht="40" customHeight="1">
      <c r="A23" s="58" t="inlineStr">
        <is>
          <t>例</t>
        </is>
      </c>
      <c r="B23" s="59" t="inlineStr">
        <is>
          <t>朝いちばんに、その日のタスクを3つに絞る</t>
        </is>
      </c>
      <c r="C23" s="27" t="n"/>
      <c r="D23" s="59" t="inlineStr">
        <is>
          <t>毎朝始業後の5分</t>
        </is>
      </c>
      <c r="E23" s="59" t="inlineStr">
        <is>
          <t>午前中の焦りが減った。急ぎの依頼が来ても、何を後回しにするか決めやすくなった</t>
        </is>
      </c>
      <c r="F23" s="27" t="n"/>
    </row>
    <row r="24" ht="44" customHeight="1">
      <c r="A24" s="87" t="n">
        <v>1</v>
      </c>
      <c r="B24" s="74" t="n"/>
      <c r="C24" s="27" t="n"/>
      <c r="D24" s="74" t="n"/>
      <c r="E24" s="74" t="n"/>
      <c r="F24" s="27" t="n"/>
    </row>
    <row r="25" ht="44" customHeight="1">
      <c r="A25" s="87" t="n">
        <v>2</v>
      </c>
      <c r="B25" s="74" t="n"/>
      <c r="C25" s="27" t="n"/>
      <c r="D25" s="74" t="n"/>
      <c r="E25" s="74" t="n"/>
      <c r="F25" s="27" t="n"/>
    </row>
    <row r="26" ht="44" customHeight="1">
      <c r="A26" s="87" t="n">
        <v>3</v>
      </c>
      <c r="B26" s="74" t="n"/>
      <c r="C26" s="27" t="n"/>
      <c r="D26" s="74" t="n"/>
      <c r="E26" s="74" t="n"/>
      <c r="F26" s="27" t="n"/>
    </row>
  </sheetData>
  <mergeCells count="18">
    <mergeCell ref="A4:B4"/>
    <mergeCell ref="A2:F2"/>
    <mergeCell ref="B24:C24"/>
    <mergeCell ref="B25:C25"/>
    <mergeCell ref="E24:F24"/>
    <mergeCell ref="E25:F25"/>
    <mergeCell ref="A1:F1"/>
    <mergeCell ref="D4:F4"/>
    <mergeCell ref="B23:C23"/>
    <mergeCell ref="A6:F6"/>
    <mergeCell ref="B22:C22"/>
    <mergeCell ref="E22:F22"/>
    <mergeCell ref="E23:F23"/>
    <mergeCell ref="E26:F26"/>
    <mergeCell ref="B26:C26"/>
    <mergeCell ref="A3:F3"/>
    <mergeCell ref="A21:F21"/>
    <mergeCell ref="A20:F20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HSPの働き方ゼミ｜働き方の取扱説明書  Version：1.0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F8A6B"/>
    <outlinePr summaryBelow="1" summaryRight="1"/>
    <pageSetUpPr fitToPage="1"/>
  </sheetPr>
  <dimension ref="A1:D28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6" customWidth="1" min="3" max="3"/>
    <col width="36" customWidth="1" min="4" max="4"/>
  </cols>
  <sheetData>
    <row r="1" ht="36" customHeight="1">
      <c r="A1" s="79" t="inlineStr">
        <is>
          <t>STEP2｜今を整える　06 仕事の境界線</t>
        </is>
      </c>
    </row>
    <row r="2" ht="26" customHeight="1">
      <c r="A2" s="80" t="inlineStr">
        <is>
          <t>目的：自分を守るためのルールを決める</t>
        </is>
      </c>
    </row>
    <row r="3" ht="51.5" customHeight="1">
      <c r="A3" s="52" t="inlineStr">
        <is>
          <t>① 「頑張る基準」「断る・相談する基準」「休む基準」の3つについて、問いに答える形で自分の基準を書きます。
② 基準は「〜したら」「〜のときは」のように、あとで自分が判断できる具体的な形にするのがコツです。
③ 最後に「私を守る5つの働き方ルール」にまとめます。</t>
        </is>
      </c>
    </row>
    <row r="4" ht="22" customHeight="1">
      <c r="A4" s="53" t="inlineStr">
        <is>
          <t>■ 黄色＝あなたの記入欄</t>
        </is>
      </c>
      <c r="B4" s="27" t="n"/>
      <c r="C4" s="54" t="inlineStr">
        <is>
          <t>■ グレー＝記入例</t>
        </is>
      </c>
      <c r="D4" s="55" t="inlineStr">
        <is>
          <t>所要時間の目安：約25分　／　記入例は消さずに残してOK。行が足りなければ、記入欄の行をコピーして増やせます。</t>
        </is>
      </c>
    </row>
    <row r="6" ht="30" customHeight="1">
      <c r="A6" s="82" t="inlineStr">
        <is>
          <t>項目</t>
        </is>
      </c>
      <c r="B6" s="82" t="inlineStr">
        <is>
          <t>考えるヒント（問い）</t>
        </is>
      </c>
      <c r="C6" s="82" t="inlineStr">
        <is>
          <t>私の基準</t>
        </is>
      </c>
      <c r="D6" s="82" t="inlineStr">
        <is>
          <t>具体例・伝え方</t>
        </is>
      </c>
    </row>
    <row r="7" ht="46" customHeight="1">
      <c r="A7" s="83" t="inlineStr">
        <is>
          <t>頑張る基準
どんな状態なら
頑張っても大丈夫か</t>
        </is>
      </c>
      <c r="B7" s="59" t="inlineStr">
        <is>
          <t>（記入例）</t>
        </is>
      </c>
      <c r="C7" s="59" t="inlineStr">
        <is>
          <t>睡眠が6時間以上とれていて、週末に回復できている状態なら頑張ってOK</t>
        </is>
      </c>
      <c r="D7" s="59" t="inlineStr">
        <is>
          <t>繁忙期の2週間だけは残業OK。3週目に入ったら上司に相談する</t>
        </is>
      </c>
    </row>
    <row r="8" ht="50" customHeight="1">
      <c r="A8" s="88" t="n"/>
      <c r="B8" s="89" t="inlineStr">
        <is>
          <t>どんな状態なら、頑張っても大丈夫？</t>
        </is>
      </c>
      <c r="C8" s="74" t="n"/>
      <c r="D8" s="74" t="n"/>
    </row>
    <row r="9" ht="50" customHeight="1">
      <c r="A9" s="88" t="n"/>
      <c r="B9" s="89" t="inlineStr">
        <is>
          <t>頑張るのは、どのくらいの期間・量まで？</t>
        </is>
      </c>
      <c r="C9" s="74" t="n"/>
      <c r="D9" s="74" t="n"/>
    </row>
    <row r="10" ht="50" customHeight="1">
      <c r="A10" s="90" t="n"/>
      <c r="B10" s="89" t="inlineStr">
        <is>
          <t>頑張ったあと、どうやって回復する？</t>
        </is>
      </c>
      <c r="C10" s="74" t="n"/>
      <c r="D10" s="74" t="n"/>
    </row>
    <row r="11" ht="46" customHeight="1">
      <c r="A11" s="83" t="inlineStr">
        <is>
          <t>断る・相談する
基準
どんな仕事は
断る・相談するか</t>
        </is>
      </c>
      <c r="B11" s="59" t="inlineStr">
        <is>
          <t>（記入例）</t>
        </is>
      </c>
      <c r="C11" s="59" t="inlineStr">
        <is>
          <t>今週の締切を超える新規依頼は、その場で受けずに優先順位を確認する</t>
        </is>
      </c>
      <c r="D11" s="59" t="inlineStr">
        <is>
          <t>「今○○を進めていて、△日以降なら対応できます。どちらを優先しますか？」</t>
        </is>
      </c>
    </row>
    <row r="12" ht="50" customHeight="1">
      <c r="A12" s="88" t="n"/>
      <c r="B12" s="89" t="inlineStr">
        <is>
          <t>どんな仕事は、断る・相談する？</t>
        </is>
      </c>
      <c r="C12" s="74" t="n"/>
      <c r="D12" s="74" t="n"/>
    </row>
    <row r="13" ht="50" customHeight="1">
      <c r="A13" s="88" t="n"/>
      <c r="B13" s="89" t="inlineStr">
        <is>
          <t>どのくらいの量・状態になったら相談する？</t>
        </is>
      </c>
      <c r="C13" s="74" t="n"/>
      <c r="D13" s="74" t="n"/>
    </row>
    <row r="14" ht="50" customHeight="1">
      <c r="A14" s="90" t="n"/>
      <c r="B14" s="89" t="inlineStr">
        <is>
          <t>断るとき・相談するとき、どう伝える？</t>
        </is>
      </c>
      <c r="C14" s="74" t="n"/>
      <c r="D14" s="74" t="n"/>
    </row>
    <row r="15" ht="46" customHeight="1">
      <c r="A15" s="83" t="inlineStr">
        <is>
          <t>休む基準
どんなサインが出たら
一度立ち止まるか</t>
        </is>
      </c>
      <c r="B15" s="59" t="inlineStr">
        <is>
          <t>（記入例）</t>
        </is>
      </c>
      <c r="C15" s="59" t="inlineStr">
        <is>
          <t>日曜の夜に眠れない日が2週続いたら、立ち止まる</t>
        </is>
      </c>
      <c r="D15" s="59" t="inlineStr">
        <is>
          <t>有休を1日とる／信頼できる人に話す／相談ルート（07）を使う</t>
        </is>
      </c>
    </row>
    <row r="16" ht="50" customHeight="1">
      <c r="A16" s="88" t="n"/>
      <c r="B16" s="89" t="inlineStr">
        <is>
          <t>体のどんなサインが出たら立ち止まる？</t>
        </is>
      </c>
      <c r="C16" s="74" t="n"/>
      <c r="D16" s="74" t="n"/>
    </row>
    <row r="17" ht="50" customHeight="1">
      <c r="A17" s="88" t="n"/>
      <c r="B17" s="89" t="inlineStr">
        <is>
          <t>心や行動のどんなサインが出たら立ち止まる？</t>
        </is>
      </c>
      <c r="C17" s="74" t="n"/>
      <c r="D17" s="74" t="n"/>
    </row>
    <row r="18" ht="50" customHeight="1">
      <c r="A18" s="90" t="n"/>
      <c r="B18" s="89" t="inlineStr">
        <is>
          <t>立ち止まったら、まず何をする？</t>
        </is>
      </c>
      <c r="C18" s="74" t="n"/>
      <c r="D18" s="74" t="n"/>
    </row>
    <row r="19" ht="35.55" customHeight="1">
      <c r="A19" s="71" t="inlineStr">
        <is>
          <t>※ 休む基準は「限界まで我慢しないための目安」です。強い心身の不調や生活に支障がある場合は、基準に関わらず、無理をせず医療・心理等の専門家へご相談ください。</t>
        </is>
      </c>
    </row>
    <row r="21" ht="28" customHeight="1">
      <c r="A21" s="86" t="inlineStr">
        <is>
          <t>★ 私を守る5つの働き方ルール</t>
        </is>
      </c>
    </row>
    <row r="22" ht="34.09999999999999" customHeight="1">
      <c r="A22" s="25" t="inlineStr">
        <is>
          <t>上の基準から、毎日の働き方で守りたいルールを5つに絞ります。「〜する」「〜しない」の形で短く。→ 11_私の働き方の取扱説明書に自動で反映されます。</t>
        </is>
      </c>
    </row>
    <row r="23" ht="28" customHeight="1">
      <c r="A23" s="58" t="inlineStr">
        <is>
          <t>例</t>
        </is>
      </c>
      <c r="B23" s="59" t="inlineStr">
        <is>
          <t>18時以降に来た依頼は、翌朝に優先順位を確認してから着手する</t>
        </is>
      </c>
      <c r="C23" s="28" t="n"/>
      <c r="D23" s="27" t="n"/>
    </row>
    <row r="24" ht="30" customHeight="1">
      <c r="A24" s="33" t="inlineStr">
        <is>
          <t>ルール 1</t>
        </is>
      </c>
      <c r="B24" s="64" t="n"/>
      <c r="C24" s="28" t="n"/>
      <c r="D24" s="27" t="n"/>
    </row>
    <row r="25" ht="30" customHeight="1">
      <c r="A25" s="33" t="inlineStr">
        <is>
          <t>ルール 2</t>
        </is>
      </c>
      <c r="B25" s="64" t="n"/>
      <c r="C25" s="28" t="n"/>
      <c r="D25" s="27" t="n"/>
    </row>
    <row r="26" ht="30" customHeight="1">
      <c r="A26" s="33" t="inlineStr">
        <is>
          <t>ルール 3</t>
        </is>
      </c>
      <c r="B26" s="64" t="n"/>
      <c r="C26" s="28" t="n"/>
      <c r="D26" s="27" t="n"/>
    </row>
    <row r="27" ht="30" customHeight="1">
      <c r="A27" s="33" t="inlineStr">
        <is>
          <t>ルール 4</t>
        </is>
      </c>
      <c r="B27" s="64" t="n"/>
      <c r="C27" s="28" t="n"/>
      <c r="D27" s="27" t="n"/>
    </row>
    <row r="28" ht="30" customHeight="1">
      <c r="A28" s="33" t="inlineStr">
        <is>
          <t>ルール 5</t>
        </is>
      </c>
      <c r="B28" s="64" t="n"/>
      <c r="C28" s="28" t="n"/>
      <c r="D28" s="27" t="n"/>
    </row>
  </sheetData>
  <mergeCells count="17">
    <mergeCell ref="A4:B4"/>
    <mergeCell ref="A1:D1"/>
    <mergeCell ref="D4"/>
    <mergeCell ref="B28:D28"/>
    <mergeCell ref="A7:A10"/>
    <mergeCell ref="A22:D22"/>
    <mergeCell ref="B23:D23"/>
    <mergeCell ref="A3:D3"/>
    <mergeCell ref="A21:D21"/>
    <mergeCell ref="B26:D26"/>
    <mergeCell ref="B27:D27"/>
    <mergeCell ref="A11:A14"/>
    <mergeCell ref="A15:A18"/>
    <mergeCell ref="A2:D2"/>
    <mergeCell ref="A19:D19"/>
    <mergeCell ref="B25:D25"/>
    <mergeCell ref="B24:D24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&amp;C&amp;8 HSPの働き方ゼミ｜働き方の取扱説明書  Version：1.0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F8A6B"/>
    <outlinePr summaryBelow="1" summaryRight="1"/>
    <pageSetUpPr fitToPage="1"/>
  </sheetPr>
  <dimension ref="A1:E2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6" customWidth="1" min="4" max="4"/>
    <col width="38" customWidth="1" min="5" max="5"/>
  </cols>
  <sheetData>
    <row r="1" ht="36" customHeight="1">
      <c r="A1" s="79" t="inlineStr">
        <is>
          <t>STEP2｜今を整える　07 相談ルート</t>
        </is>
      </c>
    </row>
    <row r="2" ht="26" customHeight="1">
      <c r="A2" s="80" t="inlineStr">
        <is>
          <t>目的：ひとりで抱え込まない仕組みを作る</t>
        </is>
      </c>
    </row>
    <row r="3" ht="51.5" customHeight="1">
      <c r="A3" s="52" t="inlineStr">
        <is>
          <t>① 「困ったこと」が起きたとき、誰に・いつ・何を伝えるかを書きます。
② 「相談するタイミング」は、限界になる前の早めの合図にしておくのがポイントです。
③ 最後に「私の相談ルート」を分野ごとに簡潔にまとめます。</t>
        </is>
      </c>
    </row>
    <row r="4" ht="22" customHeight="1">
      <c r="A4" s="53" t="inlineStr">
        <is>
          <t>■ 黄色＝あなたの記入欄</t>
        </is>
      </c>
      <c r="B4" s="27" t="n"/>
      <c r="C4" s="54" t="inlineStr">
        <is>
          <t>■ グレー＝記入例</t>
        </is>
      </c>
      <c r="D4" s="55" t="inlineStr">
        <is>
          <t>所要時間の目安：約15分　／　記入例は消さずに残してOK。行が足りなければ、記入欄の行をコピーして増やせます。</t>
        </is>
      </c>
    </row>
    <row r="6" ht="30" customHeight="1">
      <c r="A6" s="82" t="inlineStr">
        <is>
          <t>No.</t>
        </is>
      </c>
      <c r="B6" s="82" t="inlineStr">
        <is>
          <t>困ったこと</t>
        </is>
      </c>
      <c r="C6" s="82" t="inlineStr">
        <is>
          <t>相談する相手</t>
        </is>
      </c>
      <c r="D6" s="82" t="inlineStr">
        <is>
          <t>相談するタイミング</t>
        </is>
      </c>
      <c r="E6" s="82" t="inlineStr">
        <is>
          <t>伝える内容</t>
        </is>
      </c>
    </row>
    <row r="7" ht="46" customHeight="1">
      <c r="A7" s="58" t="inlineStr">
        <is>
          <t>例</t>
        </is>
      </c>
      <c r="B7" s="59" t="inlineStr">
        <is>
          <t>仕事量が多く、残業が続いている</t>
        </is>
      </c>
      <c r="C7" s="59" t="inlineStr">
        <is>
          <t>上司</t>
        </is>
      </c>
      <c r="D7" s="59" t="inlineStr">
        <is>
          <t>残業が週10時間を超えた時点で</t>
        </is>
      </c>
      <c r="E7" s="59" t="inlineStr">
        <is>
          <t>抱えている業務の一覧と、どれを優先・後回しにするか一緒に決めてほしいこと</t>
        </is>
      </c>
    </row>
    <row r="8" ht="46" customHeight="1">
      <c r="A8" s="58" t="inlineStr">
        <is>
          <t>例</t>
        </is>
      </c>
      <c r="B8" s="59" t="inlineStr">
        <is>
          <t>眠れない日が続き、仕事に集中できない</t>
        </is>
      </c>
      <c r="C8" s="59" t="inlineStr">
        <is>
          <t>医療・心理・キャリアなどの専門家</t>
        </is>
      </c>
      <c r="D8" s="59" t="inlineStr">
        <is>
          <t>2週間以上続いたら（我慢しすぎる前に）</t>
        </is>
      </c>
      <c r="E8" s="59" t="inlineStr">
        <is>
          <t>いつから・どんな症状か、仕事や生活でどんなことに困っているか</t>
        </is>
      </c>
    </row>
    <row r="9" ht="42" customHeight="1">
      <c r="A9" s="62" t="n">
        <v>1</v>
      </c>
      <c r="B9" s="74" t="n"/>
      <c r="C9" s="64" t="n"/>
      <c r="D9" s="74" t="n"/>
      <c r="E9" s="74" t="n"/>
    </row>
    <row r="10" ht="42" customHeight="1">
      <c r="A10" s="62" t="n">
        <v>2</v>
      </c>
      <c r="B10" s="74" t="n"/>
      <c r="C10" s="64" t="n"/>
      <c r="D10" s="74" t="n"/>
      <c r="E10" s="74" t="n"/>
    </row>
    <row r="11" ht="42" customHeight="1">
      <c r="A11" s="62" t="n">
        <v>3</v>
      </c>
      <c r="B11" s="74" t="n"/>
      <c r="C11" s="64" t="n"/>
      <c r="D11" s="74" t="n"/>
      <c r="E11" s="74" t="n"/>
    </row>
    <row r="12" ht="42" customHeight="1">
      <c r="A12" s="62" t="n">
        <v>4</v>
      </c>
      <c r="B12" s="74" t="n"/>
      <c r="C12" s="64" t="n"/>
      <c r="D12" s="74" t="n"/>
      <c r="E12" s="74" t="n"/>
    </row>
    <row r="13" ht="42" customHeight="1">
      <c r="A13" s="62" t="n">
        <v>5</v>
      </c>
      <c r="B13" s="74" t="n"/>
      <c r="C13" s="64" t="n"/>
      <c r="D13" s="74" t="n"/>
      <c r="E13" s="74" t="n"/>
    </row>
    <row r="14" ht="42" customHeight="1">
      <c r="A14" s="62" t="n">
        <v>6</v>
      </c>
      <c r="B14" s="74" t="n"/>
      <c r="C14" s="64" t="n"/>
      <c r="D14" s="74" t="n"/>
      <c r="E14" s="74" t="n"/>
    </row>
    <row r="15" ht="42" customHeight="1">
      <c r="A15" s="62" t="n">
        <v>7</v>
      </c>
      <c r="B15" s="74" t="n"/>
      <c r="C15" s="64" t="n"/>
      <c r="D15" s="74" t="n"/>
      <c r="E15" s="74" t="n"/>
    </row>
    <row r="16" ht="42" customHeight="1">
      <c r="A16" s="62" t="n">
        <v>8</v>
      </c>
      <c r="B16" s="74" t="n"/>
      <c r="C16" s="64" t="n"/>
      <c r="D16" s="74" t="n"/>
      <c r="E16" s="74" t="n"/>
    </row>
    <row r="18" ht="28" customHeight="1">
      <c r="A18" s="86" t="inlineStr">
        <is>
          <t>★ 私の相談ルート</t>
        </is>
      </c>
    </row>
    <row r="19" ht="21.05" customHeight="1">
      <c r="A19" s="25" t="inlineStr">
        <is>
          <t>分野ごとに「最初に相談する相手」と「次の相談先」を決めておきます。→ 11_私の働き方の取扱説明書に自動で反映されます。</t>
        </is>
      </c>
    </row>
    <row r="20" ht="30" customHeight="1">
      <c r="A20" s="84" t="inlineStr">
        <is>
          <t>分野</t>
        </is>
      </c>
      <c r="B20" s="27" t="n"/>
      <c r="C20" s="84" t="inlineStr">
        <is>
          <t>最初に相談する相手</t>
        </is>
      </c>
      <c r="D20" s="84" t="inlineStr">
        <is>
          <t>次の相談先・メモ</t>
        </is>
      </c>
      <c r="E20" s="27" t="n"/>
    </row>
    <row r="21" ht="26" customHeight="1">
      <c r="A21" s="59" t="inlineStr">
        <is>
          <t>（例）仕事量・業務のこと</t>
        </is>
      </c>
      <c r="B21" s="27" t="n"/>
      <c r="C21" s="59" t="inlineStr">
        <is>
          <t>直属の上司</t>
        </is>
      </c>
      <c r="D21" s="59" t="inlineStr">
        <is>
          <t>難しければ、先輩の○○さん → 人事</t>
        </is>
      </c>
      <c r="E21" s="27" t="n"/>
    </row>
    <row r="22" ht="30" customHeight="1">
      <c r="A22" s="91" t="inlineStr">
        <is>
          <t>仕事量・業務のこと</t>
        </is>
      </c>
      <c r="B22" s="27" t="n"/>
      <c r="C22" s="64" t="n"/>
      <c r="D22" s="64" t="n"/>
      <c r="E22" s="27" t="n"/>
    </row>
    <row r="23" ht="30" customHeight="1">
      <c r="A23" s="91" t="inlineStr">
        <is>
          <t>職場の人間関係</t>
        </is>
      </c>
      <c r="B23" s="27" t="n"/>
      <c r="C23" s="64" t="n"/>
      <c r="D23" s="64" t="n"/>
      <c r="E23" s="27" t="n"/>
    </row>
    <row r="24" ht="30" customHeight="1">
      <c r="A24" s="91" t="inlineStr">
        <is>
          <t>心と体の不調</t>
        </is>
      </c>
      <c r="B24" s="27" t="n"/>
      <c r="C24" s="64" t="n"/>
      <c r="D24" s="64" t="n"/>
      <c r="E24" s="27" t="n"/>
    </row>
    <row r="25" ht="30" customHeight="1">
      <c r="A25" s="91" t="inlineStr">
        <is>
          <t>キャリア・転職のこと</t>
        </is>
      </c>
      <c r="B25" s="27" t="n"/>
      <c r="C25" s="64" t="n"/>
      <c r="D25" s="64" t="n"/>
      <c r="E25" s="27" t="n"/>
    </row>
    <row r="27" ht="35.55" customHeight="1">
      <c r="A27" s="71" t="inlineStr">
        <is>
          <t>※ 強い心身の不調（眠れない・食べられない・涙が止まらない・朝起き上がれない など）が続く場合は、職場への相談とあわせて、必要に応じて医療等の専門家へ相談してください。強い心身の不調や生活に支障がある場合は、無理をせず医療・心理等の専門家へご相談ください。</t>
        </is>
      </c>
    </row>
  </sheetData>
  <mergeCells count="20">
    <mergeCell ref="D20:E20"/>
    <mergeCell ref="A24:B24"/>
    <mergeCell ref="A1:E1"/>
    <mergeCell ref="D22:E22"/>
    <mergeCell ref="D21:E21"/>
    <mergeCell ref="A25:B25"/>
    <mergeCell ref="A18:E18"/>
    <mergeCell ref="A27:E27"/>
    <mergeCell ref="A3:E3"/>
    <mergeCell ref="A21:B21"/>
    <mergeCell ref="A2:E2"/>
    <mergeCell ref="D4:E4"/>
    <mergeCell ref="A23:B23"/>
    <mergeCell ref="A22:B22"/>
    <mergeCell ref="A4:B4"/>
    <mergeCell ref="D25:E25"/>
    <mergeCell ref="A20:B20"/>
    <mergeCell ref="D24:E24"/>
    <mergeCell ref="A19:E19"/>
    <mergeCell ref="D23:E23"/>
  </mergeCells>
  <dataValidations count="2">
    <dataValidation sqref="C9:C16" showDropDown="0" showInputMessage="1" showErrorMessage="0" allowBlank="1" prompt="リストから選択（自由入力も可）" type="list">
      <formula1>"上司,同僚,人事,家族,友人,外部相談窓口,医療・心理・キャリアなどの専門家"</formula1>
    </dataValidation>
    <dataValidation sqref="C22:C25" showDropDown="0" showInputMessage="1" showErrorMessage="0" allowBlank="1" prompt="リストから選択（自由入力も可）" type="list">
      <formula1>"上司,同僚,人事,家族,友人,外部相談窓口,医療・心理・キャリアなどの専門家"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HSPの働き方ゼミ｜働き方の取扱説明書  Version：1.0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C47A35"/>
    <outlinePr summaryBelow="1" summaryRight="1"/>
    <pageSetUpPr fitToPage="1"/>
  </sheetPr>
  <dimension ref="A1:E41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4" customWidth="1" min="5" max="5"/>
  </cols>
  <sheetData>
    <row r="1" ht="36" customHeight="1">
      <c r="A1" s="92" t="inlineStr">
        <is>
          <t>STEP3｜これからを選ぶ　08 残る・転職する判断基準</t>
        </is>
      </c>
    </row>
    <row r="2" ht="26" customHeight="1">
      <c r="A2" s="93" t="inlineStr">
        <is>
          <t>目的：「辞めたい気分」だけで判断せず、自分の基準で考える</t>
        </is>
      </c>
    </row>
    <row r="3" ht="51.5" customHeight="1">
      <c r="A3" s="52" t="inlineStr">
        <is>
          <t>① 判断項目ごとに、3つの選択肢（残る／異動・調整する／転職を検討する）だと、どうなりそうかを書きます。分からない欄は「？」でOK。
② STEP1・2で書いた消耗ポイントや働きやすい条件を見ながら書くと、判断がブレにくくなります。
③ 最後に「今の会社に残れる条件」「環境を変えるサイン」「現時点での判断」をまとめます。結論は「まだ決めない」でも大丈夫です。</t>
        </is>
      </c>
    </row>
    <row r="4" ht="22" customHeight="1">
      <c r="A4" s="53" t="inlineStr">
        <is>
          <t>■ 黄色＝あなたの記入欄</t>
        </is>
      </c>
      <c r="B4" s="27" t="n"/>
      <c r="C4" s="54" t="inlineStr">
        <is>
          <t>■ グレー＝記入例</t>
        </is>
      </c>
      <c r="D4" s="55" t="inlineStr">
        <is>
          <t>所要時間の目安：約30分　／　記入例は消さずに残してOK。行が足りなければ、記入欄の行をコピーして増やせます。</t>
        </is>
      </c>
    </row>
    <row r="6" ht="30" customHeight="1">
      <c r="A6" s="94" t="inlineStr">
        <is>
          <t>判断項目</t>
        </is>
      </c>
      <c r="B6" s="94" t="inlineStr">
        <is>
          <t>今の会社に残る</t>
        </is>
      </c>
      <c r="C6" s="94" t="inlineStr">
        <is>
          <t>異動・調整する</t>
        </is>
      </c>
      <c r="D6" s="94" t="inlineStr">
        <is>
          <t>転職を検討する</t>
        </is>
      </c>
      <c r="E6" s="94" t="inlineStr">
        <is>
          <t>メモ・気づき</t>
        </is>
      </c>
    </row>
    <row r="7" ht="46" customHeight="1">
      <c r="A7" s="59" t="inlineStr">
        <is>
          <t>（例）仕事量</t>
        </is>
      </c>
      <c r="B7" s="59" t="inlineStr">
        <is>
          <t>繁忙期は月40時間の残業。改善の見込みは薄い</t>
        </is>
      </c>
      <c r="C7" s="59" t="inlineStr">
        <is>
          <t>隣の部署は残業月10時間程度らしい</t>
        </is>
      </c>
      <c r="D7" s="59" t="inlineStr">
        <is>
          <t>求人を見ると、月20時間以下の会社も多い</t>
        </is>
      </c>
      <c r="E7" s="59" t="inlineStr">
        <is>
          <t>まずは異動の可能性を人事に確認</t>
        </is>
      </c>
    </row>
    <row r="8" ht="42" customHeight="1">
      <c r="A8" s="95" t="inlineStr">
        <is>
          <t>消耗ポイント</t>
        </is>
      </c>
      <c r="B8" s="74" t="n"/>
      <c r="C8" s="74" t="n"/>
      <c r="D8" s="74" t="n"/>
      <c r="E8" s="74" t="n"/>
    </row>
    <row r="9" ht="42" customHeight="1">
      <c r="A9" s="95" t="inlineStr">
        <is>
          <t>働きやすい条件</t>
        </is>
      </c>
      <c r="B9" s="74" t="n"/>
      <c r="C9" s="74" t="n"/>
      <c r="D9" s="74" t="n"/>
      <c r="E9" s="74" t="n"/>
    </row>
    <row r="10" ht="42" customHeight="1">
      <c r="A10" s="95" t="inlineStr">
        <is>
          <t>仕事量</t>
        </is>
      </c>
      <c r="B10" s="74" t="n"/>
      <c r="C10" s="74" t="n"/>
      <c r="D10" s="74" t="n"/>
      <c r="E10" s="74" t="n"/>
    </row>
    <row r="11" ht="42" customHeight="1">
      <c r="A11" s="95" t="inlineStr">
        <is>
          <t>人間関係</t>
        </is>
      </c>
      <c r="B11" s="74" t="n"/>
      <c r="C11" s="74" t="n"/>
      <c r="D11" s="74" t="n"/>
      <c r="E11" s="74" t="n"/>
    </row>
    <row r="12" ht="42" customHeight="1">
      <c r="A12" s="95" t="inlineStr">
        <is>
          <t>給与</t>
        </is>
      </c>
      <c r="B12" s="74" t="n"/>
      <c r="C12" s="74" t="n"/>
      <c r="D12" s="74" t="n"/>
      <c r="E12" s="74" t="n"/>
    </row>
    <row r="13" ht="42" customHeight="1">
      <c r="A13" s="95" t="inlineStr">
        <is>
          <t>将来性</t>
        </is>
      </c>
      <c r="B13" s="74" t="n"/>
      <c r="C13" s="74" t="n"/>
      <c r="D13" s="74" t="n"/>
      <c r="E13" s="74" t="n"/>
    </row>
    <row r="14" ht="42" customHeight="1">
      <c r="A14" s="95" t="inlineStr">
        <is>
          <t>心身への負担</t>
        </is>
      </c>
      <c r="B14" s="74" t="n"/>
      <c r="C14" s="74" t="n"/>
      <c r="D14" s="74" t="n"/>
      <c r="E14" s="74" t="n"/>
    </row>
    <row r="15" ht="42" customHeight="1">
      <c r="A15" s="95" t="inlineStr">
        <is>
          <t>改善可能性</t>
        </is>
      </c>
      <c r="B15" s="74" t="n"/>
      <c r="C15" s="74" t="n"/>
      <c r="D15" s="74" t="n"/>
      <c r="E15" s="74" t="n"/>
    </row>
    <row r="16" ht="42" customHeight="1">
      <c r="A16" s="95" t="inlineStr">
        <is>
          <t>やりたい仕事</t>
        </is>
      </c>
      <c r="B16" s="74" t="n"/>
      <c r="C16" s="74" t="n"/>
      <c r="D16" s="74" t="n"/>
      <c r="E16" s="74" t="n"/>
    </row>
    <row r="17" ht="42" customHeight="1">
      <c r="A17" s="95" t="inlineStr">
        <is>
          <t>家庭との両立</t>
        </is>
      </c>
      <c r="B17" s="74" t="n"/>
      <c r="C17" s="74" t="n"/>
      <c r="D17" s="74" t="n"/>
      <c r="E17" s="74" t="n"/>
    </row>
    <row r="18" ht="42" customHeight="1">
      <c r="A18" s="96" t="n"/>
      <c r="B18" s="74" t="n"/>
      <c r="C18" s="74" t="n"/>
      <c r="D18" s="74" t="n"/>
      <c r="E18" s="74" t="n"/>
    </row>
    <row r="19" ht="42" customHeight="1">
      <c r="A19" s="96" t="n"/>
      <c r="B19" s="74" t="n"/>
      <c r="C19" s="74" t="n"/>
      <c r="D19" s="74" t="n"/>
      <c r="E19" s="74" t="n"/>
    </row>
    <row r="20" ht="28" customHeight="1">
      <c r="A20" s="97" t="inlineStr">
        <is>
          <t>納得度（1〜5）</t>
        </is>
      </c>
      <c r="B20" s="98" t="n"/>
      <c r="C20" s="98" t="n"/>
      <c r="D20" s="98" t="n"/>
      <c r="E20" s="99" t="inlineStr">
        <is>
          <t>←各選択肢に、今の気持ちで1〜5をつけてみる</t>
        </is>
      </c>
    </row>
    <row r="22" ht="35.55" customHeight="1">
      <c r="A22" s="70" t="inlineStr">
        <is>
          <t>判断のヒント：「辞めたい」という気持ちが、強く疲れた日だけのものか、2週間以上続いているものかを見てみましょう。疲れが強いときは、大きな決断の前にまず休む・相談する（06・07）ことも選択肢です。「今すぐ決めない」と決めることも、立派な判断です。</t>
        </is>
      </c>
    </row>
    <row r="24" ht="28" customHeight="1">
      <c r="A24" s="100" t="inlineStr">
        <is>
          <t>★ 今の会社に残れる条件</t>
        </is>
      </c>
    </row>
    <row r="25" ht="21.05" customHeight="1">
      <c r="A25" s="25" t="inlineStr">
        <is>
          <t>「これが満たされているなら、今の会社で続けられる」という条件。→ 11に自動で反映されます。</t>
        </is>
      </c>
    </row>
    <row r="26" ht="26" customHeight="1">
      <c r="A26" s="58" t="inlineStr">
        <is>
          <t>例</t>
        </is>
      </c>
      <c r="B26" s="59" t="inlineStr">
        <is>
          <t>残業が月20時間以内に収まり、在宅勤務を週2回続けられること</t>
        </is>
      </c>
      <c r="C26" s="28" t="n"/>
      <c r="D26" s="28" t="n"/>
      <c r="E26" s="27" t="n"/>
    </row>
    <row r="27" ht="28" customHeight="1">
      <c r="A27" s="101" t="n">
        <v>1</v>
      </c>
      <c r="B27" s="64" t="n"/>
      <c r="C27" s="28" t="n"/>
      <c r="D27" s="28" t="n"/>
      <c r="E27" s="27" t="n"/>
    </row>
    <row r="28" ht="28" customHeight="1">
      <c r="A28" s="101" t="n">
        <v>2</v>
      </c>
      <c r="B28" s="64" t="n"/>
      <c r="C28" s="28" t="n"/>
      <c r="D28" s="28" t="n"/>
      <c r="E28" s="27" t="n"/>
    </row>
    <row r="29" ht="28" customHeight="1">
      <c r="A29" s="101" t="n">
        <v>3</v>
      </c>
      <c r="B29" s="64" t="n"/>
      <c r="C29" s="28" t="n"/>
      <c r="D29" s="28" t="n"/>
      <c r="E29" s="27" t="n"/>
    </row>
    <row r="31" ht="28" customHeight="1">
      <c r="A31" s="100" t="inlineStr">
        <is>
          <t>★ 環境を変える・転職を考えるサイン</t>
        </is>
      </c>
    </row>
    <row r="32" ht="21.05" customHeight="1">
      <c r="A32" s="25" t="inlineStr">
        <is>
          <t>「これが起きたら、環境を変えることを本気で考える」というサイン。→ 11に自動で反映されます。</t>
        </is>
      </c>
    </row>
    <row r="33" ht="26" customHeight="1">
      <c r="A33" s="58" t="inlineStr">
        <is>
          <t>例</t>
        </is>
      </c>
      <c r="B33" s="59" t="inlineStr">
        <is>
          <t>業務量の相談を2回しても、3か月たって何も変わらないとき</t>
        </is>
      </c>
      <c r="C33" s="28" t="n"/>
      <c r="D33" s="28" t="n"/>
      <c r="E33" s="27" t="n"/>
    </row>
    <row r="34" ht="28" customHeight="1">
      <c r="A34" s="101" t="n">
        <v>1</v>
      </c>
      <c r="B34" s="64" t="n"/>
      <c r="C34" s="28" t="n"/>
      <c r="D34" s="28" t="n"/>
      <c r="E34" s="27" t="n"/>
    </row>
    <row r="35" ht="28" customHeight="1">
      <c r="A35" s="101" t="n">
        <v>2</v>
      </c>
      <c r="B35" s="64" t="n"/>
      <c r="C35" s="28" t="n"/>
      <c r="D35" s="28" t="n"/>
      <c r="E35" s="27" t="n"/>
    </row>
    <row r="36" ht="28" customHeight="1">
      <c r="A36" s="101" t="n">
        <v>3</v>
      </c>
      <c r="B36" s="64" t="n"/>
      <c r="C36" s="28" t="n"/>
      <c r="D36" s="28" t="n"/>
      <c r="E36" s="27" t="n"/>
    </row>
    <row r="38" ht="28" customHeight="1">
      <c r="A38" s="100" t="inlineStr">
        <is>
          <t>★ 現時点での私の判断</t>
        </is>
      </c>
    </row>
    <row r="39" ht="34" customHeight="1">
      <c r="A39" s="95" t="inlineStr">
        <is>
          <t>私の判断</t>
        </is>
      </c>
      <c r="B39" s="102" t="n"/>
      <c r="C39" s="27" t="n"/>
      <c r="D39" s="34" t="inlineStr">
        <is>
          <t>判断した日</t>
        </is>
      </c>
      <c r="E39" s="75" t="n"/>
    </row>
    <row r="40" ht="90" customHeight="1">
      <c r="A40" s="95" t="inlineStr">
        <is>
          <t>その理由</t>
        </is>
      </c>
      <c r="B40" s="74" t="n"/>
      <c r="C40" s="28" t="n"/>
      <c r="D40" s="28" t="n"/>
      <c r="E40" s="27" t="n"/>
    </row>
    <row r="41" ht="26" customHeight="1">
      <c r="A41" s="95" t="inlineStr">
        <is>
          <t>次に見直す日</t>
        </is>
      </c>
      <c r="B41" s="75" t="n"/>
      <c r="C41" s="103" t="inlineStr">
        <is>
          <t>目安：3か月後。気持ちが大きく揺れたときも見直しましょう。</t>
        </is>
      </c>
    </row>
  </sheetData>
  <mergeCells count="22">
    <mergeCell ref="B40:E40"/>
    <mergeCell ref="C41:E41"/>
    <mergeCell ref="A24:E24"/>
    <mergeCell ref="B33:E33"/>
    <mergeCell ref="A1:E1"/>
    <mergeCell ref="B36:E36"/>
    <mergeCell ref="B39:C39"/>
    <mergeCell ref="B26:E26"/>
    <mergeCell ref="B35:E35"/>
    <mergeCell ref="A25:E25"/>
    <mergeCell ref="A3:E3"/>
    <mergeCell ref="B27:E27"/>
    <mergeCell ref="A2:E2"/>
    <mergeCell ref="D4:E4"/>
    <mergeCell ref="A32:E32"/>
    <mergeCell ref="A22:E22"/>
    <mergeCell ref="A4:B4"/>
    <mergeCell ref="A38:E38"/>
    <mergeCell ref="B29:E29"/>
    <mergeCell ref="B34:E34"/>
    <mergeCell ref="B28:E28"/>
    <mergeCell ref="A31:E31"/>
  </mergeCells>
  <dataValidations count="2">
    <dataValidation sqref="B20:D20" showDropDown="0" showInputMessage="1" showErrorMessage="0" allowBlank="1" errorTitle="入力エラー" error="1〜5の整数で入力してください" prompt="1（低い）〜5（高い）" type="whole" operator="between">
      <formula1>1</formula1>
      <formula2>5</formula2>
    </dataValidation>
    <dataValidation sqref="B39" showDropDown="0" showInputMessage="0" showErrorMessage="0" allowBlank="1" type="list">
      <formula1>"今の会社に残る,異動・働き方を変える,転職する,まだ決めない（情報収集を続ける）"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HSPの働き方ゼミ｜働き方の取扱説明書  Version：1.0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C47A35"/>
    <outlinePr summaryBelow="1" summaryRight="1"/>
    <pageSetUpPr fitToPage="1"/>
  </sheetPr>
  <dimension ref="A1:E62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  <col width="25" customWidth="1" min="4" max="4"/>
    <col width="30" customWidth="1" min="5" max="5"/>
  </cols>
  <sheetData>
    <row r="1" ht="36" customHeight="1">
      <c r="A1" s="92" t="inlineStr">
        <is>
          <t>STEP3｜これからを選ぶ　09 Must・Want・NG</t>
        </is>
      </c>
    </row>
    <row r="2" ht="26" customHeight="1">
      <c r="A2" s="93" t="inlineStr">
        <is>
          <t>目的：次の職場を選ぶとき、「やりたいこと」だけでなく「絶対にやりたくないこと」を明確にする</t>
        </is>
      </c>
    </row>
    <row r="3" ht="66" customHeight="1">
      <c r="A3" s="52" t="inlineStr">
        <is>
          <t>① 各項目について、Must（絶対に必要）・Want（できれば欲しい）・NG（絶対に避けたい）の基準を書きます。全部埋めなくてOK。こだわりがない項目は空欄で構いません。
② 迷ったら、02_消耗ポイント（→NGのヒント）と03_働きやすい条件（→Must・Wantのヒント）を見返しましょう。
③ 最後に、いちばん大切な「絶対にやりたくないことリスト」をつくります。</t>
        </is>
      </c>
    </row>
    <row r="4" ht="22" customHeight="1">
      <c r="A4" s="53" t="inlineStr">
        <is>
          <t>■ 黄色＝あなたの記入欄</t>
        </is>
      </c>
      <c r="B4" s="27" t="n"/>
      <c r="C4" s="54" t="inlineStr">
        <is>
          <t>■ グレー＝記入例</t>
        </is>
      </c>
      <c r="D4" s="55" t="inlineStr">
        <is>
          <t>所要時間の目安：約30分　／　記入例は消さずに残してOK。行が足りなければ、記入欄の行をコピーして増やせます。</t>
        </is>
      </c>
    </row>
    <row r="6" ht="36" customHeight="1">
      <c r="A6" s="94" t="inlineStr">
        <is>
          <t>検討項目</t>
        </is>
      </c>
      <c r="B6" s="104" t="inlineStr">
        <is>
          <t>Must
絶対に必要な条件</t>
        </is>
      </c>
      <c r="C6" s="82" t="inlineStr">
        <is>
          <t>Want
できれば欲しい条件</t>
        </is>
      </c>
      <c r="D6" s="105" t="inlineStr">
        <is>
          <t>NG
絶対に避けたい条件</t>
        </is>
      </c>
      <c r="E6" s="94" t="inlineStr">
        <is>
          <t>理由（なぜそう思う？）</t>
        </is>
      </c>
    </row>
    <row r="7" ht="40" customHeight="1">
      <c r="A7" s="59" t="inlineStr">
        <is>
          <t>（例）残業時間</t>
        </is>
      </c>
      <c r="B7" s="59" t="inlineStr">
        <is>
          <t>月20時間以内</t>
        </is>
      </c>
      <c r="C7" s="59" t="inlineStr">
        <is>
          <t>ほぼ定時で帰れる</t>
        </is>
      </c>
      <c r="D7" s="59" t="inlineStr">
        <is>
          <t>月45時間超えが当たり前</t>
        </is>
      </c>
      <c r="E7" s="59" t="inlineStr">
        <is>
          <t>前職で残業が続いた時期、休日も回復できなかったから</t>
        </is>
      </c>
    </row>
    <row r="8" ht="40" customHeight="1">
      <c r="A8" s="59" t="inlineStr">
        <is>
          <t>（例）電話対応</t>
        </is>
      </c>
      <c r="B8" s="59" t="inlineStr"/>
      <c r="C8" s="59" t="inlineStr">
        <is>
          <t>電話はほとんどない</t>
        </is>
      </c>
      <c r="D8" s="59" t="inlineStr">
        <is>
          <t>1日中電話を受ける窓口業務</t>
        </is>
      </c>
      <c r="E8" s="59" t="inlineStr">
        <is>
          <t>電話のたびに集中が切れて、消耗が大きいから</t>
        </is>
      </c>
    </row>
    <row r="9" ht="36" customHeight="1">
      <c r="A9" s="95" t="inlineStr">
        <is>
          <t>残業時間</t>
        </is>
      </c>
      <c r="B9" s="74" t="n"/>
      <c r="C9" s="74" t="n"/>
      <c r="D9" s="74" t="n"/>
      <c r="E9" s="74" t="n"/>
    </row>
    <row r="10" ht="36" customHeight="1">
      <c r="A10" s="95" t="inlineStr">
        <is>
          <t>通勤時間</t>
        </is>
      </c>
      <c r="B10" s="74" t="n"/>
      <c r="C10" s="74" t="n"/>
      <c r="D10" s="74" t="n"/>
      <c r="E10" s="74" t="n"/>
    </row>
    <row r="11" ht="36" customHeight="1">
      <c r="A11" s="95" t="inlineStr">
        <is>
          <t>年収</t>
        </is>
      </c>
      <c r="B11" s="74" t="n"/>
      <c r="C11" s="74" t="n"/>
      <c r="D11" s="74" t="n"/>
      <c r="E11" s="74" t="n"/>
    </row>
    <row r="12" ht="36" customHeight="1">
      <c r="A12" s="95" t="inlineStr">
        <is>
          <t>リモートワーク</t>
        </is>
      </c>
      <c r="B12" s="74" t="n"/>
      <c r="C12" s="74" t="n"/>
      <c r="D12" s="74" t="n"/>
      <c r="E12" s="74" t="n"/>
    </row>
    <row r="13" ht="36" customHeight="1">
      <c r="A13" s="95" t="inlineStr">
        <is>
          <t>電話対応</t>
        </is>
      </c>
      <c r="B13" s="74" t="n"/>
      <c r="C13" s="74" t="n"/>
      <c r="D13" s="74" t="n"/>
      <c r="E13" s="74" t="n"/>
    </row>
    <row r="14" ht="36" customHeight="1">
      <c r="A14" s="95" t="inlineStr">
        <is>
          <t>出張</t>
        </is>
      </c>
      <c r="B14" s="74" t="n"/>
      <c r="C14" s="74" t="n"/>
      <c r="D14" s="74" t="n"/>
      <c r="E14" s="74" t="n"/>
    </row>
    <row r="15" ht="36" customHeight="1">
      <c r="A15" s="95" t="inlineStr">
        <is>
          <t>転勤</t>
        </is>
      </c>
      <c r="B15" s="74" t="n"/>
      <c r="C15" s="74" t="n"/>
      <c r="D15" s="74" t="n"/>
      <c r="E15" s="74" t="n"/>
    </row>
    <row r="16" ht="36" customHeight="1">
      <c r="A16" s="95" t="inlineStr">
        <is>
          <t>人間関係</t>
        </is>
      </c>
      <c r="B16" s="74" t="n"/>
      <c r="C16" s="74" t="n"/>
      <c r="D16" s="74" t="n"/>
      <c r="E16" s="74" t="n"/>
    </row>
    <row r="17" ht="36" customHeight="1">
      <c r="A17" s="95" t="inlineStr">
        <is>
          <t>職場の静かさ</t>
        </is>
      </c>
      <c r="B17" s="74" t="n"/>
      <c r="C17" s="74" t="n"/>
      <c r="D17" s="74" t="n"/>
      <c r="E17" s="74" t="n"/>
    </row>
    <row r="18" ht="36" customHeight="1">
      <c r="A18" s="95" t="inlineStr">
        <is>
          <t>マルチタスク</t>
        </is>
      </c>
      <c r="B18" s="74" t="n"/>
      <c r="C18" s="74" t="n"/>
      <c r="D18" s="74" t="n"/>
      <c r="E18" s="74" t="n"/>
    </row>
    <row r="19" ht="36" customHeight="1">
      <c r="A19" s="95" t="inlineStr">
        <is>
          <t>個人作業／チーム作業</t>
        </is>
      </c>
      <c r="B19" s="74" t="n"/>
      <c r="C19" s="74" t="n"/>
      <c r="D19" s="74" t="n"/>
      <c r="E19" s="74" t="n"/>
    </row>
    <row r="20" ht="36" customHeight="1">
      <c r="A20" s="95" t="inlineStr">
        <is>
          <t>裁量</t>
        </is>
      </c>
      <c r="B20" s="74" t="n"/>
      <c r="C20" s="74" t="n"/>
      <c r="D20" s="74" t="n"/>
      <c r="E20" s="74" t="n"/>
    </row>
    <row r="21" ht="36" customHeight="1">
      <c r="A21" s="95" t="inlineStr">
        <is>
          <t>評価制度</t>
        </is>
      </c>
      <c r="B21" s="74" t="n"/>
      <c r="C21" s="74" t="n"/>
      <c r="D21" s="74" t="n"/>
      <c r="E21" s="74" t="n"/>
    </row>
    <row r="22" ht="36" customHeight="1">
      <c r="A22" s="95" t="inlineStr">
        <is>
          <t>管理職</t>
        </is>
      </c>
      <c r="B22" s="74" t="n"/>
      <c r="C22" s="74" t="n"/>
      <c r="D22" s="74" t="n"/>
      <c r="E22" s="74" t="n"/>
    </row>
    <row r="23" ht="36" customHeight="1">
      <c r="A23" s="95" t="inlineStr">
        <is>
          <t>休日</t>
        </is>
      </c>
      <c r="B23" s="74" t="n"/>
      <c r="C23" s="74" t="n"/>
      <c r="D23" s="74" t="n"/>
      <c r="E23" s="74" t="n"/>
    </row>
    <row r="24" ht="36" customHeight="1">
      <c r="A24" s="95" t="inlineStr">
        <is>
          <t>業務内容</t>
        </is>
      </c>
      <c r="B24" s="74" t="n"/>
      <c r="C24" s="74" t="n"/>
      <c r="D24" s="74" t="n"/>
      <c r="E24" s="74" t="n"/>
    </row>
    <row r="25" ht="36" customHeight="1">
      <c r="A25" s="96" t="n"/>
      <c r="B25" s="74" t="n"/>
      <c r="C25" s="74" t="n"/>
      <c r="D25" s="74" t="n"/>
      <c r="E25" s="74" t="n"/>
    </row>
    <row r="26" ht="36" customHeight="1">
      <c r="A26" s="96" t="n"/>
      <c r="B26" s="74" t="n"/>
      <c r="C26" s="74" t="n"/>
      <c r="D26" s="74" t="n"/>
      <c r="E26" s="74" t="n"/>
    </row>
    <row r="27" ht="36" customHeight="1">
      <c r="A27" s="96" t="n"/>
      <c r="B27" s="74" t="n"/>
      <c r="C27" s="74" t="n"/>
      <c r="D27" s="74" t="n"/>
      <c r="E27" s="74" t="n"/>
    </row>
    <row r="29" ht="28" customHeight="1">
      <c r="A29" s="106" t="inlineStr">
        <is>
          <t>★ 次の職場の Must条件（ゆずれない条件）まとめ</t>
        </is>
      </c>
    </row>
    <row r="30" ht="21.05" customHeight="1">
      <c r="A30" s="25" t="inlineStr">
        <is>
          <t>上の表のMustから、特に大事なものを最大5つ。→ 11に自動で反映されます。</t>
        </is>
      </c>
    </row>
    <row r="31" ht="26" customHeight="1">
      <c r="A31" s="58" t="inlineStr">
        <is>
          <t>例</t>
        </is>
      </c>
      <c r="B31" s="59" t="inlineStr">
        <is>
          <t>残業は月20時間以内。在宅勤務が週2日以上できる</t>
        </is>
      </c>
      <c r="C31" s="28" t="n"/>
      <c r="D31" s="28" t="n"/>
      <c r="E31" s="27" t="n"/>
    </row>
    <row r="32" ht="28" customHeight="1">
      <c r="A32" s="107" t="inlineStr">
        <is>
          <t>Must 1</t>
        </is>
      </c>
      <c r="B32" s="64" t="n"/>
      <c r="C32" s="28" t="n"/>
      <c r="D32" s="28" t="n"/>
      <c r="E32" s="27" t="n"/>
    </row>
    <row r="33" ht="28" customHeight="1">
      <c r="A33" s="107" t="inlineStr">
        <is>
          <t>Must 2</t>
        </is>
      </c>
      <c r="B33" s="64" t="n"/>
      <c r="C33" s="28" t="n"/>
      <c r="D33" s="28" t="n"/>
      <c r="E33" s="27" t="n"/>
    </row>
    <row r="34" ht="28" customHeight="1">
      <c r="A34" s="107" t="inlineStr">
        <is>
          <t>Must 3</t>
        </is>
      </c>
      <c r="B34" s="64" t="n"/>
      <c r="C34" s="28" t="n"/>
      <c r="D34" s="28" t="n"/>
      <c r="E34" s="27" t="n"/>
    </row>
    <row r="35" ht="28" customHeight="1">
      <c r="A35" s="107" t="inlineStr">
        <is>
          <t>Must 4</t>
        </is>
      </c>
      <c r="B35" s="64" t="n"/>
      <c r="C35" s="28" t="n"/>
      <c r="D35" s="28" t="n"/>
      <c r="E35" s="27" t="n"/>
    </row>
    <row r="36" ht="28" customHeight="1">
      <c r="A36" s="107" t="inlineStr">
        <is>
          <t>Must 5</t>
        </is>
      </c>
      <c r="B36" s="64" t="n"/>
      <c r="C36" s="28" t="n"/>
      <c r="D36" s="28" t="n"/>
      <c r="E36" s="27" t="n"/>
    </row>
    <row r="38" ht="28" customHeight="1">
      <c r="A38" s="108" t="inlineStr">
        <is>
          <t>★ 次の職場の NG条件（避けたい条件）まとめ</t>
        </is>
      </c>
    </row>
    <row r="39" ht="21.05" customHeight="1">
      <c r="A39" s="25" t="inlineStr">
        <is>
          <t>上の表のNGから、特に大事なものを最大5つ。→ 11に自動で反映されます。</t>
        </is>
      </c>
    </row>
    <row r="40" ht="26" customHeight="1">
      <c r="A40" s="58" t="inlineStr">
        <is>
          <t>例</t>
        </is>
      </c>
      <c r="B40" s="59" t="inlineStr">
        <is>
          <t>全国転勤がある。1日中電話を受ける業務が中心</t>
        </is>
      </c>
      <c r="C40" s="28" t="n"/>
      <c r="D40" s="28" t="n"/>
      <c r="E40" s="27" t="n"/>
    </row>
    <row r="41" ht="28" customHeight="1">
      <c r="A41" s="109" t="inlineStr">
        <is>
          <t>NG 1</t>
        </is>
      </c>
      <c r="B41" s="64" t="n"/>
      <c r="C41" s="28" t="n"/>
      <c r="D41" s="28" t="n"/>
      <c r="E41" s="27" t="n"/>
    </row>
    <row r="42" ht="28" customHeight="1">
      <c r="A42" s="109" t="inlineStr">
        <is>
          <t>NG 2</t>
        </is>
      </c>
      <c r="B42" s="64" t="n"/>
      <c r="C42" s="28" t="n"/>
      <c r="D42" s="28" t="n"/>
      <c r="E42" s="27" t="n"/>
    </row>
    <row r="43" ht="28" customHeight="1">
      <c r="A43" s="109" t="inlineStr">
        <is>
          <t>NG 3</t>
        </is>
      </c>
      <c r="B43" s="64" t="n"/>
      <c r="C43" s="28" t="n"/>
      <c r="D43" s="28" t="n"/>
      <c r="E43" s="27" t="n"/>
    </row>
    <row r="44" ht="28" customHeight="1">
      <c r="A44" s="109" t="inlineStr">
        <is>
          <t>NG 4</t>
        </is>
      </c>
      <c r="B44" s="64" t="n"/>
      <c r="C44" s="28" t="n"/>
      <c r="D44" s="28" t="n"/>
      <c r="E44" s="27" t="n"/>
    </row>
    <row r="45" ht="28" customHeight="1">
      <c r="A45" s="109" t="inlineStr">
        <is>
          <t>NG 5</t>
        </is>
      </c>
      <c r="B45" s="64" t="n"/>
      <c r="C45" s="28" t="n"/>
      <c r="D45" s="28" t="n"/>
      <c r="E45" s="27" t="n"/>
    </row>
    <row r="48" ht="46" customHeight="1">
      <c r="A48" s="110" t="inlineStr">
        <is>
          <t>絶対にやりたくないことリスト</t>
        </is>
      </c>
      <c r="B48" s="111" t="n"/>
      <c r="C48" s="111" t="n"/>
      <c r="D48" s="111" t="n"/>
      <c r="E48" s="112" t="n"/>
    </row>
    <row r="49" ht="68.90000000000001" customHeight="1">
      <c r="A49" s="113" t="inlineStr">
        <is>
          <t>「やりたいこと」が分からなくても、「やりたくないこと」は意外とはっきりしているものです。
私自身も転職前に「絶対にやりたくないことリスト」をつくり、それを軸に転職先を選びました。求人票の魅力的な言葉に流されず、「ここだけは譲れない」という線を引けたことで、入社後のミスマッチを防げました。
これまでのワークをふり返りながら、5〜10個、遠慮せずに書き出してみてください。</t>
        </is>
      </c>
      <c r="B49" s="114" t="n"/>
      <c r="C49" s="114" t="n"/>
      <c r="D49" s="114" t="n"/>
      <c r="E49" s="115" t="n"/>
    </row>
    <row r="50" ht="35.55" customHeight="1">
      <c r="A50" s="116" t="inlineStr">
        <is>
          <t>書き方のヒント（例）：毎日の電話窓口業務／怒鳴る・威圧的な上司がいる職場／終電近くまでの残業が当たり前／全国転勤／個人ノルマで競わせる営業／常に複数の案件を同時進行する役割</t>
        </is>
      </c>
      <c r="B50" s="114" t="n"/>
      <c r="C50" s="114" t="n"/>
      <c r="D50" s="114" t="n"/>
      <c r="E50" s="115" t="n"/>
    </row>
    <row r="51" ht="30" customHeight="1">
      <c r="A51" s="117" t="inlineStr">
        <is>
          <t>No.</t>
        </is>
      </c>
      <c r="B51" s="118" t="inlineStr">
        <is>
          <t>絶対にやりたくないこと</t>
        </is>
      </c>
      <c r="C51" s="119" t="n"/>
      <c r="D51" s="118" t="inlineStr">
        <is>
          <t>なぜ避けたい？</t>
        </is>
      </c>
      <c r="E51" s="120" t="inlineStr">
        <is>
          <t>求人・面接でどう確認する？</t>
        </is>
      </c>
    </row>
    <row r="52" ht="44" customHeight="1">
      <c r="A52" s="121" t="inlineStr">
        <is>
          <t>例</t>
        </is>
      </c>
      <c r="B52" s="59" t="inlineStr">
        <is>
          <t>1日中、電話を受ける窓口業務</t>
        </is>
      </c>
      <c r="C52" s="119" t="n"/>
      <c r="D52" s="59" t="inlineStr">
        <is>
          <t>電話のたびに集中が切れて、夕方には何も考えられなくなるから</t>
        </is>
      </c>
      <c r="E52" s="122" t="inlineStr">
        <is>
          <t>面接で「1日の電話件数」「電話当番の有無」を質問する</t>
        </is>
      </c>
    </row>
    <row r="53" ht="40" customHeight="1">
      <c r="A53" s="123" t="n">
        <v>1</v>
      </c>
      <c r="B53" s="124" t="n"/>
      <c r="C53" s="119" t="n"/>
      <c r="D53" s="74" t="n"/>
      <c r="E53" s="125" t="n"/>
    </row>
    <row r="54" ht="40" customHeight="1">
      <c r="A54" s="123" t="n">
        <v>2</v>
      </c>
      <c r="B54" s="124" t="n"/>
      <c r="C54" s="119" t="n"/>
      <c r="D54" s="74" t="n"/>
      <c r="E54" s="125" t="n"/>
    </row>
    <row r="55" ht="40" customHeight="1">
      <c r="A55" s="123" t="n">
        <v>3</v>
      </c>
      <c r="B55" s="124" t="n"/>
      <c r="C55" s="119" t="n"/>
      <c r="D55" s="74" t="n"/>
      <c r="E55" s="125" t="n"/>
    </row>
    <row r="56" ht="40" customHeight="1">
      <c r="A56" s="123" t="n">
        <v>4</v>
      </c>
      <c r="B56" s="124" t="n"/>
      <c r="C56" s="119" t="n"/>
      <c r="D56" s="74" t="n"/>
      <c r="E56" s="125" t="n"/>
    </row>
    <row r="57" ht="40" customHeight="1">
      <c r="A57" s="123" t="n">
        <v>5</v>
      </c>
      <c r="B57" s="124" t="n"/>
      <c r="C57" s="119" t="n"/>
      <c r="D57" s="74" t="n"/>
      <c r="E57" s="125" t="n"/>
    </row>
    <row r="58" ht="40" customHeight="1">
      <c r="A58" s="123" t="n">
        <v>6</v>
      </c>
      <c r="B58" s="124" t="n"/>
      <c r="C58" s="119" t="n"/>
      <c r="D58" s="74" t="n"/>
      <c r="E58" s="125" t="n"/>
    </row>
    <row r="59" ht="40" customHeight="1">
      <c r="A59" s="123" t="n">
        <v>7</v>
      </c>
      <c r="B59" s="124" t="n"/>
      <c r="C59" s="119" t="n"/>
      <c r="D59" s="74" t="n"/>
      <c r="E59" s="125" t="n"/>
    </row>
    <row r="60" ht="40" customHeight="1">
      <c r="A60" s="123" t="n">
        <v>8</v>
      </c>
      <c r="B60" s="124" t="n"/>
      <c r="C60" s="119" t="n"/>
      <c r="D60" s="74" t="n"/>
      <c r="E60" s="125" t="n"/>
    </row>
    <row r="61" ht="40" customHeight="1">
      <c r="A61" s="123" t="n">
        <v>9</v>
      </c>
      <c r="B61" s="124" t="n"/>
      <c r="C61" s="119" t="n"/>
      <c r="D61" s="74" t="n"/>
      <c r="E61" s="125" t="n"/>
    </row>
    <row r="62" ht="40" customHeight="1">
      <c r="A62" s="126" t="n">
        <v>10</v>
      </c>
      <c r="B62" s="127" t="n"/>
      <c r="C62" s="128" t="n"/>
      <c r="D62" s="129" t="n"/>
      <c r="E62" s="130" t="n"/>
    </row>
  </sheetData>
  <mergeCells count="36">
    <mergeCell ref="A30:E30"/>
    <mergeCell ref="A39:E39"/>
    <mergeCell ref="B40:E40"/>
    <mergeCell ref="B54:C54"/>
    <mergeCell ref="A48:E48"/>
    <mergeCell ref="B62:C62"/>
    <mergeCell ref="B59:C59"/>
    <mergeCell ref="A49:E49"/>
    <mergeCell ref="B33:E33"/>
    <mergeCell ref="A1:E1"/>
    <mergeCell ref="B56:C56"/>
    <mergeCell ref="B36:E36"/>
    <mergeCell ref="B32:E32"/>
    <mergeCell ref="B58:C58"/>
    <mergeCell ref="B45:E45"/>
    <mergeCell ref="B52:C52"/>
    <mergeCell ref="B41:E41"/>
    <mergeCell ref="B35:E35"/>
    <mergeCell ref="B61:C61"/>
    <mergeCell ref="B60:C60"/>
    <mergeCell ref="B57:C57"/>
    <mergeCell ref="B53:C53"/>
    <mergeCell ref="A3:E3"/>
    <mergeCell ref="B31:E31"/>
    <mergeCell ref="A50:E50"/>
    <mergeCell ref="A2:E2"/>
    <mergeCell ref="B43:E43"/>
    <mergeCell ref="D4:E4"/>
    <mergeCell ref="B42:E42"/>
    <mergeCell ref="A4:B4"/>
    <mergeCell ref="B55:C55"/>
    <mergeCell ref="A29:E29"/>
    <mergeCell ref="A38:E38"/>
    <mergeCell ref="B51:C51"/>
    <mergeCell ref="B44:E44"/>
    <mergeCell ref="B34:E34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HSPの働き方ゼミ｜働き方の取扱説明書  Version：1.0</oddFooter>
    <evenHeader/>
    <evenFooter/>
    <firstHeader/>
    <firstFooter/>
  </headerFooter>
  <rowBreaks count="1" manualBreakCount="1">
    <brk id="47" min="0" max="16383" man="1"/>
  </rowBreaks>
</worksheet>
</file>

<file path=xl/worksheets/sheet11.xml><?xml version="1.0" encoding="utf-8"?>
<worksheet xmlns="http://schemas.openxmlformats.org/spreadsheetml/2006/main">
  <sheetPr>
    <tabColor rgb="00C47A35"/>
    <outlinePr summaryBelow="1" summaryRight="1"/>
    <pageSetUpPr fitToPage="1"/>
  </sheetPr>
  <dimension ref="A1:F4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13" customWidth="1" min="4" max="4"/>
    <col width="30" customWidth="1" min="5" max="5"/>
    <col width="13" customWidth="1" min="6" max="6"/>
  </cols>
  <sheetData>
    <row r="1" ht="36" customHeight="1">
      <c r="A1" s="92" t="inlineStr">
        <is>
          <t>STEP3｜これからを選ぶ　10 90日行動計画</t>
        </is>
      </c>
    </row>
    <row r="2" ht="26" customHeight="1">
      <c r="A2" s="93" t="inlineStr">
        <is>
          <t>目的：分かっただけで終わらず、行動につなげる</t>
        </is>
      </c>
    </row>
    <row r="3" ht="51.5" customHeight="1">
      <c r="A3" s="52" t="inlineStr">
        <is>
          <t>① これまでのワークをもとに、「やめること」「始めること」「相談すること」「調べること」を1〜3個ずつ書きます。
② その中から実際に動くものを「実行管理表」に移し、期限と「最初の一歩」（5分でできる行動）を決めます。
③ 30日・60日・90日の節目にふり返り、完了したら完了欄を「☑ 完了」にします。</t>
        </is>
      </c>
    </row>
    <row r="4" ht="22" customHeight="1">
      <c r="A4" s="53" t="inlineStr">
        <is>
          <t>■ 黄色＝あなたの記入欄</t>
        </is>
      </c>
      <c r="B4" s="27" t="n"/>
      <c r="C4" s="54" t="inlineStr">
        <is>
          <t>■ グレー＝記入例</t>
        </is>
      </c>
      <c r="D4" s="55" t="inlineStr">
        <is>
          <t>所要時間の目安：約20分＋90日間の実行　／　記入例は消さずに残してOK。行が足りなければ、記入欄の行をコピーして増やせます。</t>
        </is>
      </c>
    </row>
    <row r="6" ht="28" customHeight="1">
      <c r="A6" s="100" t="inlineStr">
        <is>
          <t>4つの行動を決める</t>
        </is>
      </c>
    </row>
    <row r="7" ht="30" customHeight="1">
      <c r="A7" s="131" t="inlineStr">
        <is>
          <t>区分</t>
        </is>
      </c>
      <c r="B7" s="131" t="inlineStr">
        <is>
          <t>内容</t>
        </is>
      </c>
      <c r="C7" s="131" t="inlineStr">
        <is>
          <t>なぜやる？（どのシートの気づきから？）</t>
        </is>
      </c>
      <c r="D7" s="28" t="n"/>
      <c r="E7" s="28" t="n"/>
      <c r="F7" s="27" t="n"/>
    </row>
    <row r="8" ht="28" customHeight="1">
      <c r="A8" s="58" t="inlineStr">
        <is>
          <t>例（やめる）</t>
        </is>
      </c>
      <c r="B8" s="59" t="inlineStr">
        <is>
          <t>寝る前に仕事のメールを確認する</t>
        </is>
      </c>
      <c r="C8" s="59" t="inlineStr">
        <is>
          <t>頭から仕事が離れず、眠りが浅くなるから（02・06より）</t>
        </is>
      </c>
      <c r="D8" s="28" t="n"/>
      <c r="E8" s="28" t="n"/>
      <c r="F8" s="27" t="n"/>
    </row>
    <row r="9" ht="30" customHeight="1">
      <c r="A9" s="132" t="inlineStr">
        <is>
          <t>やめること</t>
        </is>
      </c>
      <c r="B9" s="74" t="n"/>
      <c r="C9" s="74" t="n"/>
      <c r="D9" s="28" t="n"/>
      <c r="E9" s="28" t="n"/>
      <c r="F9" s="27" t="n"/>
    </row>
    <row r="10" ht="30" customHeight="1">
      <c r="A10" s="88" t="n"/>
      <c r="B10" s="74" t="n"/>
      <c r="C10" s="74" t="n"/>
      <c r="D10" s="28" t="n"/>
      <c r="E10" s="28" t="n"/>
      <c r="F10" s="27" t="n"/>
    </row>
    <row r="11" ht="30" customHeight="1">
      <c r="A11" s="90" t="n"/>
      <c r="B11" s="74" t="n"/>
      <c r="C11" s="74" t="n"/>
      <c r="D11" s="28" t="n"/>
      <c r="E11" s="28" t="n"/>
      <c r="F11" s="27" t="n"/>
    </row>
    <row r="12" ht="30" customHeight="1">
      <c r="A12" s="132" t="inlineStr">
        <is>
          <t>始めること</t>
        </is>
      </c>
      <c r="B12" s="74" t="n"/>
      <c r="C12" s="74" t="n"/>
      <c r="D12" s="28" t="n"/>
      <c r="E12" s="28" t="n"/>
      <c r="F12" s="27" t="n"/>
    </row>
    <row r="13" ht="30" customHeight="1">
      <c r="A13" s="88" t="n"/>
      <c r="B13" s="74" t="n"/>
      <c r="C13" s="74" t="n"/>
      <c r="D13" s="28" t="n"/>
      <c r="E13" s="28" t="n"/>
      <c r="F13" s="27" t="n"/>
    </row>
    <row r="14" ht="30" customHeight="1">
      <c r="A14" s="90" t="n"/>
      <c r="B14" s="74" t="n"/>
      <c r="C14" s="74" t="n"/>
      <c r="D14" s="28" t="n"/>
      <c r="E14" s="28" t="n"/>
      <c r="F14" s="27" t="n"/>
    </row>
    <row r="15" ht="30" customHeight="1">
      <c r="A15" s="132" t="inlineStr">
        <is>
          <t>相談すること</t>
        </is>
      </c>
      <c r="B15" s="74" t="n"/>
      <c r="C15" s="74" t="n"/>
      <c r="D15" s="28" t="n"/>
      <c r="E15" s="28" t="n"/>
      <c r="F15" s="27" t="n"/>
    </row>
    <row r="16" ht="30" customHeight="1">
      <c r="A16" s="88" t="n"/>
      <c r="B16" s="74" t="n"/>
      <c r="C16" s="74" t="n"/>
      <c r="D16" s="28" t="n"/>
      <c r="E16" s="28" t="n"/>
      <c r="F16" s="27" t="n"/>
    </row>
    <row r="17" ht="30" customHeight="1">
      <c r="A17" s="90" t="n"/>
      <c r="B17" s="74" t="n"/>
      <c r="C17" s="74" t="n"/>
      <c r="D17" s="28" t="n"/>
      <c r="E17" s="28" t="n"/>
      <c r="F17" s="27" t="n"/>
    </row>
    <row r="18" ht="30" customHeight="1">
      <c r="A18" s="132" t="inlineStr">
        <is>
          <t>調べること</t>
        </is>
      </c>
      <c r="B18" s="74" t="n"/>
      <c r="C18" s="74" t="n"/>
      <c r="D18" s="28" t="n"/>
      <c r="E18" s="28" t="n"/>
      <c r="F18" s="27" t="n"/>
    </row>
    <row r="19" ht="30" customHeight="1">
      <c r="A19" s="88" t="n"/>
      <c r="B19" s="74" t="n"/>
      <c r="C19" s="74" t="n"/>
      <c r="D19" s="28" t="n"/>
      <c r="E19" s="28" t="n"/>
      <c r="F19" s="27" t="n"/>
    </row>
    <row r="20" ht="30" customHeight="1">
      <c r="A20" s="90" t="n"/>
      <c r="B20" s="74" t="n"/>
      <c r="C20" s="74" t="n"/>
      <c r="D20" s="28" t="n"/>
      <c r="E20" s="28" t="n"/>
      <c r="F20" s="27" t="n"/>
    </row>
    <row r="22" ht="28" customHeight="1">
      <c r="A22" s="100" t="inlineStr">
        <is>
          <t>実行管理表</t>
        </is>
      </c>
    </row>
    <row r="23" ht="21.05" customHeight="1">
      <c r="A23" s="25" t="inlineStr">
        <is>
          <t>完了欄はドロップダウンで「☐ 未完了／☑ 完了」を選べます。</t>
        </is>
      </c>
    </row>
    <row r="24" ht="30" customHeight="1">
      <c r="A24" s="131" t="inlineStr">
        <is>
          <t>区分</t>
        </is>
      </c>
      <c r="B24" s="131" t="inlineStr">
        <is>
          <t>行動</t>
        </is>
      </c>
      <c r="C24" s="131" t="inlineStr">
        <is>
          <t>期限</t>
        </is>
      </c>
      <c r="D24" s="27" t="n"/>
      <c r="E24" s="131" t="inlineStr">
        <is>
          <t>最初の一歩（5分でできること）</t>
        </is>
      </c>
      <c r="F24" s="131" t="inlineStr">
        <is>
          <t>完了</t>
        </is>
      </c>
    </row>
    <row r="25" ht="30" customHeight="1">
      <c r="A25" s="58" t="inlineStr">
        <is>
          <t>例（相談）</t>
        </is>
      </c>
      <c r="B25" s="59" t="inlineStr">
        <is>
          <t>上司に業務量を相談する</t>
        </is>
      </c>
      <c r="C25" s="58" t="inlineStr">
        <is>
          <t>11/15</t>
        </is>
      </c>
      <c r="D25" s="27" t="n"/>
      <c r="E25" s="59" t="inlineStr">
        <is>
          <t>1on1の議題メモに「業務量」と書いておく</t>
        </is>
      </c>
      <c r="F25" s="58" t="inlineStr">
        <is>
          <t>☑ 完了</t>
        </is>
      </c>
    </row>
    <row r="26" ht="30" customHeight="1">
      <c r="A26" s="75" t="n"/>
      <c r="B26" s="74" t="n"/>
      <c r="C26" s="75" t="n"/>
      <c r="D26" s="27" t="n"/>
      <c r="E26" s="74" t="n"/>
      <c r="F26" s="41" t="inlineStr">
        <is>
          <t>☐ 未完了</t>
        </is>
      </c>
    </row>
    <row r="27" ht="30" customHeight="1">
      <c r="A27" s="75" t="n"/>
      <c r="B27" s="74" t="n"/>
      <c r="C27" s="75" t="n"/>
      <c r="D27" s="27" t="n"/>
      <c r="E27" s="74" t="n"/>
      <c r="F27" s="41" t="inlineStr">
        <is>
          <t>☐ 未完了</t>
        </is>
      </c>
    </row>
    <row r="28" ht="30" customHeight="1">
      <c r="A28" s="75" t="n"/>
      <c r="B28" s="74" t="n"/>
      <c r="C28" s="75" t="n"/>
      <c r="D28" s="27" t="n"/>
      <c r="E28" s="74" t="n"/>
      <c r="F28" s="41" t="inlineStr">
        <is>
          <t>☐ 未完了</t>
        </is>
      </c>
    </row>
    <row r="29" ht="30" customHeight="1">
      <c r="A29" s="75" t="n"/>
      <c r="B29" s="74" t="n"/>
      <c r="C29" s="75" t="n"/>
      <c r="D29" s="27" t="n"/>
      <c r="E29" s="74" t="n"/>
      <c r="F29" s="41" t="inlineStr">
        <is>
          <t>☐ 未完了</t>
        </is>
      </c>
    </row>
    <row r="30" ht="30" customHeight="1">
      <c r="A30" s="75" t="n"/>
      <c r="B30" s="74" t="n"/>
      <c r="C30" s="75" t="n"/>
      <c r="D30" s="27" t="n"/>
      <c r="E30" s="74" t="n"/>
      <c r="F30" s="41" t="inlineStr">
        <is>
          <t>☐ 未完了</t>
        </is>
      </c>
    </row>
    <row r="31" ht="30" customHeight="1">
      <c r="A31" s="75" t="n"/>
      <c r="B31" s="74" t="n"/>
      <c r="C31" s="75" t="n"/>
      <c r="D31" s="27" t="n"/>
      <c r="E31" s="74" t="n"/>
      <c r="F31" s="41" t="inlineStr">
        <is>
          <t>☐ 未完了</t>
        </is>
      </c>
    </row>
    <row r="32" ht="30" customHeight="1">
      <c r="A32" s="75" t="n"/>
      <c r="B32" s="74" t="n"/>
      <c r="C32" s="75" t="n"/>
      <c r="D32" s="27" t="n"/>
      <c r="E32" s="74" t="n"/>
      <c r="F32" s="41" t="inlineStr">
        <is>
          <t>☐ 未完了</t>
        </is>
      </c>
    </row>
    <row r="33" ht="30" customHeight="1">
      <c r="A33" s="75" t="n"/>
      <c r="B33" s="74" t="n"/>
      <c r="C33" s="75" t="n"/>
      <c r="D33" s="27" t="n"/>
      <c r="E33" s="74" t="n"/>
      <c r="F33" s="41" t="inlineStr">
        <is>
          <t>☐ 未完了</t>
        </is>
      </c>
    </row>
    <row r="34" ht="30" customHeight="1">
      <c r="A34" s="75" t="n"/>
      <c r="B34" s="74" t="n"/>
      <c r="C34" s="75" t="n"/>
      <c r="D34" s="27" t="n"/>
      <c r="E34" s="74" t="n"/>
      <c r="F34" s="41" t="inlineStr">
        <is>
          <t>☐ 未完了</t>
        </is>
      </c>
    </row>
    <row r="35" ht="30" customHeight="1">
      <c r="A35" s="75" t="n"/>
      <c r="B35" s="74" t="n"/>
      <c r="C35" s="75" t="n"/>
      <c r="D35" s="27" t="n"/>
      <c r="E35" s="74" t="n"/>
      <c r="F35" s="41" t="inlineStr">
        <is>
          <t>☐ 未完了</t>
        </is>
      </c>
    </row>
    <row r="36" ht="30" customHeight="1">
      <c r="A36" s="75" t="n"/>
      <c r="B36" s="74" t="n"/>
      <c r="C36" s="75" t="n"/>
      <c r="D36" s="27" t="n"/>
      <c r="E36" s="74" t="n"/>
      <c r="F36" s="41" t="inlineStr">
        <is>
          <t>☐ 未完了</t>
        </is>
      </c>
    </row>
    <row r="37" ht="30" customHeight="1">
      <c r="A37" s="75" t="n"/>
      <c r="B37" s="74" t="n"/>
      <c r="C37" s="75" t="n"/>
      <c r="D37" s="27" t="n"/>
      <c r="E37" s="74" t="n"/>
      <c r="F37" s="41" t="inlineStr">
        <is>
          <t>☐ 未完了</t>
        </is>
      </c>
    </row>
    <row r="38" ht="28" customHeight="1">
      <c r="A38" s="34" t="inlineStr">
        <is>
          <t>完了数</t>
        </is>
      </c>
      <c r="B38" s="133">
        <f>COUNTIF(F26:F37,"☑ 完了")&amp;" / "&amp;COUNTA(B26:B37)&amp;" 件（記入した行動のうち）"</f>
        <v/>
      </c>
      <c r="C38" s="134" t="n"/>
      <c r="D38" s="134" t="n"/>
      <c r="E38" s="134" t="n"/>
      <c r="F38" s="134" t="n"/>
    </row>
    <row r="40" ht="28" customHeight="1">
      <c r="A40" s="100" t="inlineStr">
        <is>
          <t>30日・60日・90日のふり返り</t>
        </is>
      </c>
    </row>
    <row r="41" ht="21.05" customHeight="1">
      <c r="A41" s="25" t="inlineStr">
        <is>
          <t>できたこと・できなかったこと・気づいたことを書きます。できなかったことは「計画を調整するヒント」です。</t>
        </is>
      </c>
    </row>
    <row r="42" ht="30" customHeight="1">
      <c r="A42" s="131" t="inlineStr">
        <is>
          <t>節目</t>
        </is>
      </c>
      <c r="B42" s="131" t="inlineStr">
        <is>
          <t>ふり返った日</t>
        </is>
      </c>
      <c r="C42" s="131" t="inlineStr">
        <is>
          <t>できたこと・気づいたこと・次にやること</t>
        </is>
      </c>
      <c r="D42" s="28" t="n"/>
      <c r="E42" s="28" t="n"/>
      <c r="F42" s="27" t="n"/>
    </row>
    <row r="43" ht="60" customHeight="1">
      <c r="A43" s="34" t="inlineStr">
        <is>
          <t>30日目</t>
        </is>
      </c>
      <c r="B43" s="75" t="n"/>
      <c r="C43" s="74" t="n"/>
      <c r="D43" s="28" t="n"/>
      <c r="E43" s="28" t="n"/>
      <c r="F43" s="27" t="n"/>
    </row>
    <row r="44" ht="60" customHeight="1">
      <c r="A44" s="34" t="inlineStr">
        <is>
          <t>60日目</t>
        </is>
      </c>
      <c r="B44" s="75" t="n"/>
      <c r="C44" s="74" t="n"/>
      <c r="D44" s="28" t="n"/>
      <c r="E44" s="28" t="n"/>
      <c r="F44" s="27" t="n"/>
    </row>
    <row r="45" ht="60" customHeight="1">
      <c r="A45" s="34" t="inlineStr">
        <is>
          <t>90日目</t>
        </is>
      </c>
      <c r="B45" s="75" t="n"/>
      <c r="C45" s="74" t="n"/>
      <c r="D45" s="28" t="n"/>
      <c r="E45" s="28" t="n"/>
      <c r="F45" s="27" t="n"/>
    </row>
    <row r="47" ht="21.775" customHeight="1">
      <c r="A47" s="70" t="inlineStr">
        <is>
          <t>90日が終わったら、11_私の働き方の取扱説明書を更新しましょう。01_働き方セルフチェックの「3か月後の回答」もおすすめです。</t>
        </is>
      </c>
    </row>
  </sheetData>
  <mergeCells count="47">
    <mergeCell ref="A41:F41"/>
    <mergeCell ref="C34:D34"/>
    <mergeCell ref="A12:A14"/>
    <mergeCell ref="C17:F17"/>
    <mergeCell ref="C24:D24"/>
    <mergeCell ref="C30:D30"/>
    <mergeCell ref="C8:F8"/>
    <mergeCell ref="C33:D33"/>
    <mergeCell ref="C7:F7"/>
    <mergeCell ref="A3:F3"/>
    <mergeCell ref="C19:F19"/>
    <mergeCell ref="C26:D26"/>
    <mergeCell ref="C35:D35"/>
    <mergeCell ref="C13:F13"/>
    <mergeCell ref="A2:F2"/>
    <mergeCell ref="C18:F18"/>
    <mergeCell ref="A47:F47"/>
    <mergeCell ref="C29:D29"/>
    <mergeCell ref="C25:D25"/>
    <mergeCell ref="D4:F4"/>
    <mergeCell ref="A23:F23"/>
    <mergeCell ref="A15:A17"/>
    <mergeCell ref="A22:F22"/>
    <mergeCell ref="C15:F15"/>
    <mergeCell ref="C31:D31"/>
    <mergeCell ref="C42:F42"/>
    <mergeCell ref="C14:F14"/>
    <mergeCell ref="A9:A11"/>
    <mergeCell ref="C45:F45"/>
    <mergeCell ref="C20:F20"/>
    <mergeCell ref="C27:D27"/>
    <mergeCell ref="C36:D36"/>
    <mergeCell ref="C16:F16"/>
    <mergeCell ref="A40:F40"/>
    <mergeCell ref="C10:F10"/>
    <mergeCell ref="C44:F44"/>
    <mergeCell ref="A4:B4"/>
    <mergeCell ref="C9:F9"/>
    <mergeCell ref="C32:D32"/>
    <mergeCell ref="A1:F1"/>
    <mergeCell ref="C12:F12"/>
    <mergeCell ref="C43:F43"/>
    <mergeCell ref="C37:D37"/>
    <mergeCell ref="A6:F6"/>
    <mergeCell ref="C28:D28"/>
    <mergeCell ref="C11:F11"/>
    <mergeCell ref="A18:A20"/>
  </mergeCells>
  <dataValidations count="2">
    <dataValidation sqref="A26:A37" showDropDown="0" showInputMessage="0" showErrorMessage="0" allowBlank="1" type="list">
      <formula1>"やめること,始めること,相談すること,調べること"</formula1>
    </dataValidation>
    <dataValidation sqref="F26:F37" showDropDown="0" showInputMessage="0" showErrorMessage="0" allowBlank="1" errorTitle="入力エラー" error="リストから選んでください" type="list">
      <formula1>"☐ 未完了,☑ 完了"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HSPの働き方ゼミ｜働き方の取扱説明書  Version：1.0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5F63"/>
    <outlinePr summaryBelow="1" summaryRight="1"/>
    <pageSetUpPr fitToPage="1"/>
  </sheetPr>
  <dimension ref="B2:F62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7" customWidth="1" min="3" max="3"/>
    <col width="2" customWidth="1" min="4" max="4"/>
    <col width="5" customWidth="1" min="5" max="5"/>
    <col width="37" customWidth="1" min="6" max="6"/>
    <col width="2" customWidth="1" min="7" max="7"/>
  </cols>
  <sheetData>
    <row r="1" ht="8" customHeight="1"/>
    <row r="2" ht="46" customHeight="1">
      <c r="B2" s="135" t="inlineStr">
        <is>
          <t>私の働き方の取扱説明書</t>
        </is>
      </c>
    </row>
    <row r="3" ht="20" customHeight="1">
      <c r="B3" s="136" t="inlineStr">
        <is>
          <t>HSPの働き方ゼミ｜迷ったとき、何度でも戻ってこられる自分専用の判断ツール</t>
        </is>
      </c>
    </row>
    <row r="4" ht="8" customHeight="1"/>
    <row r="5" ht="26" customHeight="1">
      <c r="B5" s="137" t="inlineStr">
        <is>
          <t>名前</t>
        </is>
      </c>
      <c r="C5" s="124" t="n"/>
      <c r="E5" s="137" t="inlineStr">
        <is>
          <t>更新</t>
        </is>
      </c>
      <c r="F5" s="138" t="n"/>
    </row>
    <row r="6" ht="32.65" customHeight="1">
      <c r="B6" s="139" t="inlineStr">
        <is>
          <t>各カードは、これまでのシートの「★まとめ欄」から自動で反映されます。言い回しを整えたい場合は、このシートに直接書き込んでもOKです（直接書くと自動反映は止まります）。</t>
        </is>
      </c>
    </row>
    <row r="8" ht="26" customHeight="1">
      <c r="B8" s="140" t="inlineStr">
        <is>
          <t>■ 私が消耗しやすい条件 TOP5</t>
        </is>
      </c>
      <c r="C8" s="27" t="n"/>
      <c r="E8" s="140" t="inlineStr">
        <is>
          <t>■ 私が働きやすい条件 TOP5</t>
        </is>
      </c>
      <c r="F8" s="27" t="n"/>
    </row>
    <row r="9" ht="30" customHeight="1">
      <c r="B9" s="141" t="n">
        <v>1</v>
      </c>
      <c r="C9" s="142">
        <f>IF('02_消耗ポイント'!B42="","",'02_消耗ポイント'!B42)</f>
        <v/>
      </c>
      <c r="E9" s="141" t="n">
        <v>1</v>
      </c>
      <c r="F9" s="142">
        <f>IF('03_働きやすい条件'!B43="","",'03_働きやすい条件'!B43)</f>
        <v/>
      </c>
    </row>
    <row r="10" ht="30" customHeight="1">
      <c r="B10" s="141" t="n">
        <v>2</v>
      </c>
      <c r="C10" s="142">
        <f>IF('02_消耗ポイント'!B43="","",'02_消耗ポイント'!B43)</f>
        <v/>
      </c>
      <c r="E10" s="141" t="n">
        <v>2</v>
      </c>
      <c r="F10" s="142">
        <f>IF('03_働きやすい条件'!B44="","",'03_働きやすい条件'!B44)</f>
        <v/>
      </c>
    </row>
    <row r="11" ht="30" customHeight="1">
      <c r="B11" s="141" t="n">
        <v>3</v>
      </c>
      <c r="C11" s="142">
        <f>IF('02_消耗ポイント'!B44="","",'02_消耗ポイント'!B44)</f>
        <v/>
      </c>
      <c r="E11" s="141" t="n">
        <v>3</v>
      </c>
      <c r="F11" s="142">
        <f>IF('03_働きやすい条件'!B45="","",'03_働きやすい条件'!B45)</f>
        <v/>
      </c>
    </row>
    <row r="12" ht="30" customHeight="1">
      <c r="B12" s="141" t="n">
        <v>4</v>
      </c>
      <c r="C12" s="142">
        <f>IF('02_消耗ポイント'!B45="","",'02_消耗ポイント'!B45)</f>
        <v/>
      </c>
      <c r="E12" s="141" t="n">
        <v>4</v>
      </c>
      <c r="F12" s="142">
        <f>IF('03_働きやすい条件'!B46="","",'03_働きやすい条件'!B46)</f>
        <v/>
      </c>
    </row>
    <row r="13" ht="30" customHeight="1">
      <c r="B13" s="141" t="n">
        <v>5</v>
      </c>
      <c r="C13" s="142">
        <f>IF('02_消耗ポイント'!B46="","",'02_消耗ポイント'!B46)</f>
        <v/>
      </c>
      <c r="E13" s="141" t="n">
        <v>5</v>
      </c>
      <c r="F13" s="142">
        <f>IF('03_働きやすい条件'!B47="","",'03_働きやすい条件'!B47)</f>
        <v/>
      </c>
    </row>
    <row r="15" ht="26" customHeight="1">
      <c r="B15" s="140" t="inlineStr">
        <is>
          <t>■ 私が頑張りすぎる3つのパターン　（→ そのときの対処法）</t>
        </is>
      </c>
      <c r="C15" s="28" t="n"/>
      <c r="D15" s="28" t="n"/>
      <c r="E15" s="28" t="n"/>
      <c r="F15" s="27" t="n"/>
    </row>
    <row r="16" ht="30" customHeight="1">
      <c r="B16" s="141" t="n">
        <v>1</v>
      </c>
      <c r="C16" s="142">
        <f>IF('04_頑張りすぎパターン'!B25="","",'04_頑張りすぎパターン'!B25&amp;IF('04_頑張りすぎパターン'!F25="",""," → "&amp;'04_頑張りすぎパターン'!F25))</f>
        <v/>
      </c>
      <c r="D16" s="28" t="n"/>
      <c r="E16" s="28" t="n"/>
      <c r="F16" s="27" t="n"/>
    </row>
    <row r="17" ht="30" customHeight="1">
      <c r="B17" s="141" t="n">
        <v>2</v>
      </c>
      <c r="C17" s="142">
        <f>IF('04_頑張りすぎパターン'!B26="","",'04_頑張りすぎパターン'!B26&amp;IF('04_頑張りすぎパターン'!F26="",""," → "&amp;'04_頑張りすぎパターン'!F26))</f>
        <v/>
      </c>
      <c r="D17" s="28" t="n"/>
      <c r="E17" s="28" t="n"/>
      <c r="F17" s="27" t="n"/>
    </row>
    <row r="18" ht="30" customHeight="1">
      <c r="B18" s="141" t="n">
        <v>3</v>
      </c>
      <c r="C18" s="142">
        <f>IF('04_頑張りすぎパターン'!B27="","",'04_頑張りすぎパターン'!B27&amp;IF('04_頑張りすぎパターン'!F27="",""," → "&amp;'04_頑張りすぎパターン'!F27))</f>
        <v/>
      </c>
      <c r="D18" s="28" t="n"/>
      <c r="E18" s="28" t="n"/>
      <c r="F18" s="27" t="n"/>
    </row>
    <row r="20" ht="26" customHeight="1">
      <c r="B20" s="143" t="inlineStr">
        <is>
          <t>■ 私を守る5つの働き方ルール</t>
        </is>
      </c>
      <c r="C20" s="28" t="n"/>
      <c r="D20" s="28" t="n"/>
      <c r="E20" s="28" t="n"/>
      <c r="F20" s="27" t="n"/>
    </row>
    <row r="21" ht="28" customHeight="1">
      <c r="B21" s="144" t="n">
        <v>1</v>
      </c>
      <c r="C21" s="145">
        <f>IF('06_仕事の境界線'!B24="","",'06_仕事の境界線'!B24)</f>
        <v/>
      </c>
      <c r="D21" s="28" t="n"/>
      <c r="E21" s="28" t="n"/>
      <c r="F21" s="27" t="n"/>
    </row>
    <row r="22" ht="28" customHeight="1">
      <c r="B22" s="144" t="n">
        <v>2</v>
      </c>
      <c r="C22" s="145">
        <f>IF('06_仕事の境界線'!B25="","",'06_仕事の境界線'!B25)</f>
        <v/>
      </c>
      <c r="D22" s="28" t="n"/>
      <c r="E22" s="28" t="n"/>
      <c r="F22" s="27" t="n"/>
    </row>
    <row r="23" ht="28" customHeight="1">
      <c r="B23" s="144" t="n">
        <v>3</v>
      </c>
      <c r="C23" s="145">
        <f>IF('06_仕事の境界線'!B26="","",'06_仕事の境界線'!B26)</f>
        <v/>
      </c>
      <c r="D23" s="28" t="n"/>
      <c r="E23" s="28" t="n"/>
      <c r="F23" s="27" t="n"/>
    </row>
    <row r="24" ht="28" customHeight="1">
      <c r="B24" s="144" t="n">
        <v>4</v>
      </c>
      <c r="C24" s="145">
        <f>IF('06_仕事の境界線'!B27="","",'06_仕事の境界線'!B27)</f>
        <v/>
      </c>
      <c r="D24" s="28" t="n"/>
      <c r="E24" s="28" t="n"/>
      <c r="F24" s="27" t="n"/>
    </row>
    <row r="25" ht="28" customHeight="1">
      <c r="B25" s="144" t="n">
        <v>5</v>
      </c>
      <c r="C25" s="145">
        <f>IF('06_仕事の境界線'!B28="","",'06_仕事の境界線'!B28)</f>
        <v/>
      </c>
      <c r="D25" s="28" t="n"/>
      <c r="E25" s="28" t="n"/>
      <c r="F25" s="27" t="n"/>
    </row>
    <row r="27" ht="26" customHeight="1">
      <c r="B27" s="143" t="inlineStr">
        <is>
          <t>■ 困ったときの相談先</t>
        </is>
      </c>
      <c r="C27" s="28" t="n"/>
      <c r="D27" s="28" t="n"/>
      <c r="E27" s="28" t="n"/>
      <c r="F27" s="27" t="n"/>
    </row>
    <row r="28" ht="26" customHeight="1">
      <c r="B28" s="146" t="inlineStr">
        <is>
          <t>仕事量・業務のこと</t>
        </is>
      </c>
      <c r="C28" s="28" t="n"/>
      <c r="D28" s="27" t="n"/>
      <c r="E28" s="142">
        <f>IF('07_相談ルート'!C22="","",'07_相談ルート'!C22&amp;IF('07_相談ルート'!D22="",""," （"&amp;'07_相談ルート'!D22&amp;"）"))</f>
        <v/>
      </c>
      <c r="F28" s="27" t="n"/>
    </row>
    <row r="29" ht="26" customHeight="1">
      <c r="B29" s="146" t="inlineStr">
        <is>
          <t>職場の人間関係</t>
        </is>
      </c>
      <c r="C29" s="28" t="n"/>
      <c r="D29" s="27" t="n"/>
      <c r="E29" s="142">
        <f>IF('07_相談ルート'!C23="","",'07_相談ルート'!C23&amp;IF('07_相談ルート'!D23="",""," （"&amp;'07_相談ルート'!D23&amp;"）"))</f>
        <v/>
      </c>
      <c r="F29" s="27" t="n"/>
    </row>
    <row r="30" ht="26" customHeight="1">
      <c r="B30" s="146" t="inlineStr">
        <is>
          <t>心と体の不調</t>
        </is>
      </c>
      <c r="C30" s="28" t="n"/>
      <c r="D30" s="27" t="n"/>
      <c r="E30" s="142">
        <f>IF('07_相談ルート'!C24="","",'07_相談ルート'!C24&amp;IF('07_相談ルート'!D24="",""," （"&amp;'07_相談ルート'!D24&amp;"）"))</f>
        <v/>
      </c>
      <c r="F30" s="27" t="n"/>
    </row>
    <row r="31" ht="26" customHeight="1">
      <c r="B31" s="146" t="inlineStr">
        <is>
          <t>キャリア・転職のこと</t>
        </is>
      </c>
      <c r="C31" s="28" t="n"/>
      <c r="D31" s="27" t="n"/>
      <c r="E31" s="142">
        <f>IF('07_相談ルート'!C25="","",'07_相談ルート'!C25&amp;IF('07_相談ルート'!D25="",""," （"&amp;'07_相談ルート'!D25&amp;"）"))</f>
        <v/>
      </c>
      <c r="F31" s="27" t="n"/>
    </row>
    <row r="33" ht="26" customHeight="1">
      <c r="B33" s="147" t="inlineStr">
        <is>
          <t>■ 今の会社に残れる条件</t>
        </is>
      </c>
      <c r="C33" s="27" t="n"/>
      <c r="E33" s="147" t="inlineStr">
        <is>
          <t>■ 環境を変える・転職を考えるサイン</t>
        </is>
      </c>
      <c r="F33" s="27" t="n"/>
    </row>
    <row r="34" ht="34" customHeight="1">
      <c r="B34" s="148" t="n">
        <v>1</v>
      </c>
      <c r="C34" s="142">
        <f>IF('08_残る・転職する判断基準'!B27="","",'08_残る・転職する判断基準'!B27)</f>
        <v/>
      </c>
      <c r="E34" s="148" t="n">
        <v>1</v>
      </c>
      <c r="F34" s="142">
        <f>IF('08_残る・転職する判断基準'!B34="","",'08_残る・転職する判断基準'!B34)</f>
        <v/>
      </c>
    </row>
    <row r="35" ht="34" customHeight="1">
      <c r="B35" s="148" t="n">
        <v>2</v>
      </c>
      <c r="C35" s="142">
        <f>IF('08_残る・転職する判断基準'!B28="","",'08_残る・転職する判断基準'!B28)</f>
        <v/>
      </c>
      <c r="E35" s="148" t="n">
        <v>2</v>
      </c>
      <c r="F35" s="142">
        <f>IF('08_残る・転職する判断基準'!B35="","",'08_残る・転職する判断基準'!B35)</f>
        <v/>
      </c>
    </row>
    <row r="36" ht="34" customHeight="1">
      <c r="B36" s="148" t="n">
        <v>3</v>
      </c>
      <c r="C36" s="142">
        <f>IF('08_残る・転職する判断基準'!B29="","",'08_残る・転職する判断基準'!B29)</f>
        <v/>
      </c>
      <c r="E36" s="148" t="n">
        <v>3</v>
      </c>
      <c r="F36" s="142">
        <f>IF('08_残る・転職する判断基準'!B36="","",'08_残る・転職する判断基準'!B36)</f>
        <v/>
      </c>
    </row>
    <row r="37" ht="26" customHeight="1">
      <c r="B37" s="149" t="inlineStr">
        <is>
          <t>現時点の判断</t>
        </is>
      </c>
      <c r="C37" s="28" t="n"/>
      <c r="D37" s="27" t="n"/>
      <c r="E37" s="145">
        <f>IF('08_残る・転職する判断基準'!B39="","",'08_残る・転職する判断基準'!B39)</f>
        <v/>
      </c>
      <c r="F37" s="27" t="n"/>
    </row>
    <row r="39" ht="26" customHeight="1">
      <c r="B39" s="150" t="inlineStr">
        <is>
          <t>■ 次の職場の Must条件</t>
        </is>
      </c>
      <c r="C39" s="27" t="n"/>
      <c r="E39" s="151" t="inlineStr">
        <is>
          <t>■ 次の職場の NG条件</t>
        </is>
      </c>
      <c r="F39" s="27" t="n"/>
    </row>
    <row r="40" ht="30" customHeight="1">
      <c r="B40" s="137" t="n">
        <v>1</v>
      </c>
      <c r="C40" s="142">
        <f>IF('09_Must・Want・NG'!B32="","",'09_Must・Want・NG'!B32)</f>
        <v/>
      </c>
      <c r="E40" s="109" t="n">
        <v>1</v>
      </c>
      <c r="F40" s="142">
        <f>IF('09_Must・Want・NG'!B41="","",'09_Must・Want・NG'!B41)</f>
        <v/>
      </c>
    </row>
    <row r="41" ht="30" customHeight="1">
      <c r="B41" s="137" t="n">
        <v>2</v>
      </c>
      <c r="C41" s="142">
        <f>IF('09_Must・Want・NG'!B33="","",'09_Must・Want・NG'!B33)</f>
        <v/>
      </c>
      <c r="E41" s="109" t="n">
        <v>2</v>
      </c>
      <c r="F41" s="142">
        <f>IF('09_Must・Want・NG'!B42="","",'09_Must・Want・NG'!B42)</f>
        <v/>
      </c>
    </row>
    <row r="42" ht="30" customHeight="1">
      <c r="B42" s="137" t="n">
        <v>3</v>
      </c>
      <c r="C42" s="142">
        <f>IF('09_Must・Want・NG'!B34="","",'09_Must・Want・NG'!B34)</f>
        <v/>
      </c>
      <c r="E42" s="109" t="n">
        <v>3</v>
      </c>
      <c r="F42" s="142">
        <f>IF('09_Must・Want・NG'!B43="","",'09_Must・Want・NG'!B43)</f>
        <v/>
      </c>
    </row>
    <row r="43" ht="30" customHeight="1">
      <c r="B43" s="137" t="n">
        <v>4</v>
      </c>
      <c r="C43" s="142">
        <f>IF('09_Must・Want・NG'!B35="","",'09_Must・Want・NG'!B35)</f>
        <v/>
      </c>
      <c r="E43" s="109" t="n">
        <v>4</v>
      </c>
      <c r="F43" s="142">
        <f>IF('09_Must・Want・NG'!B44="","",'09_Must・Want・NG'!B44)</f>
        <v/>
      </c>
    </row>
    <row r="44" ht="30" customHeight="1">
      <c r="B44" s="137" t="n">
        <v>5</v>
      </c>
      <c r="C44" s="142">
        <f>IF('09_Must・Want・NG'!B36="","",'09_Must・Want・NG'!B36)</f>
        <v/>
      </c>
      <c r="E44" s="109" t="n">
        <v>5</v>
      </c>
      <c r="F44" s="142">
        <f>IF('09_Must・Want・NG'!B45="","",'09_Must・Want・NG'!B45)</f>
        <v/>
      </c>
    </row>
    <row r="46" ht="30" customHeight="1">
      <c r="B46" s="152" t="inlineStr">
        <is>
          <t>■ 絶対にやりたくないこと</t>
        </is>
      </c>
      <c r="C46" s="153" t="n"/>
      <c r="D46" s="153" t="n"/>
      <c r="E46" s="153" t="n"/>
      <c r="F46" s="154" t="n"/>
    </row>
    <row r="47" ht="28" customHeight="1">
      <c r="B47" s="155" t="n">
        <v>1</v>
      </c>
      <c r="C47" s="30">
        <f>IF('09_Must・Want・NG'!B53="","",'09_Must・Want・NG'!B53)</f>
        <v/>
      </c>
      <c r="D47" s="156" t="n"/>
      <c r="E47" s="109" t="n">
        <v>6</v>
      </c>
      <c r="F47" s="157">
        <f>IF('09_Must・Want・NG'!B58="","",'09_Must・Want・NG'!B58)</f>
        <v/>
      </c>
    </row>
    <row r="48" ht="28" customHeight="1">
      <c r="B48" s="155" t="n">
        <v>2</v>
      </c>
      <c r="C48" s="30">
        <f>IF('09_Must・Want・NG'!B54="","",'09_Must・Want・NG'!B54)</f>
        <v/>
      </c>
      <c r="D48" s="156" t="n"/>
      <c r="E48" s="109" t="n">
        <v>7</v>
      </c>
      <c r="F48" s="157">
        <f>IF('09_Must・Want・NG'!B59="","",'09_Must・Want・NG'!B59)</f>
        <v/>
      </c>
    </row>
    <row r="49" ht="28" customHeight="1">
      <c r="B49" s="155" t="n">
        <v>3</v>
      </c>
      <c r="C49" s="30">
        <f>IF('09_Must・Want・NG'!B55="","",'09_Must・Want・NG'!B55)</f>
        <v/>
      </c>
      <c r="D49" s="156" t="n"/>
      <c r="E49" s="109" t="n">
        <v>8</v>
      </c>
      <c r="F49" s="157">
        <f>IF('09_Must・Want・NG'!B60="","",'09_Must・Want・NG'!B60)</f>
        <v/>
      </c>
    </row>
    <row r="50" ht="28" customHeight="1">
      <c r="B50" s="155" t="n">
        <v>4</v>
      </c>
      <c r="C50" s="30">
        <f>IF('09_Must・Want・NG'!B56="","",'09_Must・Want・NG'!B56)</f>
        <v/>
      </c>
      <c r="D50" s="156" t="n"/>
      <c r="E50" s="109" t="n">
        <v>9</v>
      </c>
      <c r="F50" s="157">
        <f>IF('09_Must・Want・NG'!B61="","",'09_Must・Want・NG'!B61)</f>
        <v/>
      </c>
    </row>
    <row r="51" ht="28" customHeight="1">
      <c r="B51" s="158" t="n">
        <v>5</v>
      </c>
      <c r="C51" s="159">
        <f>IF('09_Must・Want・NG'!B57="","",'09_Must・Want・NG'!B57)</f>
        <v/>
      </c>
      <c r="D51" s="160" t="n"/>
      <c r="E51" s="161" t="n">
        <v>10</v>
      </c>
      <c r="F51" s="162">
        <f>IF('09_Must・Want・NG'!B62="","",'09_Must・Want・NG'!B62)</f>
        <v/>
      </c>
    </row>
    <row r="53" ht="26" customHeight="1">
      <c r="B53" s="147" t="inlineStr">
        <is>
          <t>■ これから90日でやること</t>
        </is>
      </c>
      <c r="C53" s="28" t="n"/>
      <c r="D53" s="28" t="n"/>
      <c r="E53" s="28" t="n"/>
      <c r="F53" s="27" t="n"/>
    </row>
    <row r="54" ht="34" customHeight="1">
      <c r="B54" s="163" t="inlineStr">
        <is>
          <t>やめること</t>
        </is>
      </c>
      <c r="C54" s="28" t="n"/>
      <c r="D54" s="27" t="n"/>
      <c r="E54" s="142">
        <f>MID(IF('10_90日行動計画'!B9="","","／"&amp;'10_90日行動計画'!B9)&amp;IF('10_90日行動計画'!B10="","","／"&amp;'10_90日行動計画'!B10)&amp;IF('10_90日行動計画'!B11="","","／"&amp;'10_90日行動計画'!B11),2,500)</f>
        <v/>
      </c>
      <c r="F54" s="27" t="n"/>
    </row>
    <row r="55" ht="34" customHeight="1">
      <c r="B55" s="163" t="inlineStr">
        <is>
          <t>始めること</t>
        </is>
      </c>
      <c r="C55" s="28" t="n"/>
      <c r="D55" s="27" t="n"/>
      <c r="E55" s="142">
        <f>MID(IF('10_90日行動計画'!B12="","","／"&amp;'10_90日行動計画'!B12)&amp;IF('10_90日行動計画'!B13="","","／"&amp;'10_90日行動計画'!B13)&amp;IF('10_90日行動計画'!B14="","","／"&amp;'10_90日行動計画'!B14),2,500)</f>
        <v/>
      </c>
      <c r="F55" s="27" t="n"/>
    </row>
    <row r="56" ht="34" customHeight="1">
      <c r="B56" s="163" t="inlineStr">
        <is>
          <t>相談すること</t>
        </is>
      </c>
      <c r="C56" s="28" t="n"/>
      <c r="D56" s="27" t="n"/>
      <c r="E56" s="142">
        <f>MID(IF('10_90日行動計画'!B15="","","／"&amp;'10_90日行動計画'!B15)&amp;IF('10_90日行動計画'!B16="","","／"&amp;'10_90日行動計画'!B16)&amp;IF('10_90日行動計画'!B17="","","／"&amp;'10_90日行動計画'!B17),2,500)</f>
        <v/>
      </c>
      <c r="F56" s="27" t="n"/>
    </row>
    <row r="57" ht="34" customHeight="1">
      <c r="B57" s="163" t="inlineStr">
        <is>
          <t>調べること</t>
        </is>
      </c>
      <c r="C57" s="28" t="n"/>
      <c r="D57" s="27" t="n"/>
      <c r="E57" s="142">
        <f>MID(IF('10_90日行動計画'!B18="","","／"&amp;'10_90日行動計画'!B18)&amp;IF('10_90日行動計画'!B19="","","／"&amp;'10_90日行動計画'!B19)&amp;IF('10_90日行動計画'!B20="","","／"&amp;'10_90日行動計画'!B20),2,500)</f>
        <v/>
      </c>
      <c r="F57" s="27" t="n"/>
    </row>
    <row r="59" ht="24" customHeight="1">
      <c r="B59" s="137" t="inlineStr">
        <is>
          <t>最終更新日</t>
        </is>
      </c>
      <c r="C59" s="28" t="n"/>
      <c r="D59" s="27" t="n"/>
      <c r="E59" s="164">
        <f>IF(F5="","（上の「更新」欄に日付を入れてください）",F5)</f>
        <v/>
      </c>
      <c r="F59" s="27" t="n"/>
    </row>
    <row r="61" ht="44.975" customHeight="1">
      <c r="B61" s="139" t="inlineStr">
        <is>
          <t>この取扱説明書は、3か月に1回、または働き方に迷ったときに見直してアップデートしていきましょう。
※ この教材は、HSPの診断・医療診断・心理療法・メンタル不調の治療を目的としたものではありません。強い心身の不調や生活に支障がある場合は、無理をせず医療・心理等の専門家へご相談ください。</t>
        </is>
      </c>
    </row>
    <row r="62" ht="18" customHeight="1">
      <c r="B62" s="165" t="inlineStr">
        <is>
          <t>HSPの働き方ゼミ｜働き方の取扱説明書　Version：1.0</t>
        </is>
      </c>
    </row>
  </sheetData>
  <mergeCells count="44">
    <mergeCell ref="C17:F17"/>
    <mergeCell ref="C23:F23"/>
    <mergeCell ref="E55:F55"/>
    <mergeCell ref="B62:F62"/>
    <mergeCell ref="B57:D57"/>
    <mergeCell ref="E33:F33"/>
    <mergeCell ref="B3:F3"/>
    <mergeCell ref="B46:F46"/>
    <mergeCell ref="B29:D29"/>
    <mergeCell ref="E39:F39"/>
    <mergeCell ref="E8:F8"/>
    <mergeCell ref="B27:F27"/>
    <mergeCell ref="B39:C39"/>
    <mergeCell ref="B28:D28"/>
    <mergeCell ref="C18:F18"/>
    <mergeCell ref="B37:D37"/>
    <mergeCell ref="B2:F2"/>
    <mergeCell ref="E29:F29"/>
    <mergeCell ref="E28:F28"/>
    <mergeCell ref="B61:F61"/>
    <mergeCell ref="B30:D30"/>
    <mergeCell ref="C24:F24"/>
    <mergeCell ref="B8:C8"/>
    <mergeCell ref="B55:D55"/>
    <mergeCell ref="E31:F31"/>
    <mergeCell ref="B53:F53"/>
    <mergeCell ref="E59:F59"/>
    <mergeCell ref="E30:F30"/>
    <mergeCell ref="C16:F16"/>
    <mergeCell ref="C25:F25"/>
    <mergeCell ref="B54:D54"/>
    <mergeCell ref="C22:F22"/>
    <mergeCell ref="E57:F57"/>
    <mergeCell ref="B59:D59"/>
    <mergeCell ref="B6:F6"/>
    <mergeCell ref="B33:C33"/>
    <mergeCell ref="B31:D31"/>
    <mergeCell ref="B20:F20"/>
    <mergeCell ref="B15:F15"/>
    <mergeCell ref="E54:F54"/>
    <mergeCell ref="C21:F21"/>
    <mergeCell ref="E37:F37"/>
    <mergeCell ref="B56:D56"/>
    <mergeCell ref="E56:F56"/>
  </mergeCells>
  <printOptions horizontalCentered="1"/>
  <pageMargins left="0.4" right="0.4" top="0.5" bottom="0.5" header="0.5" footer="0.5"/>
  <pageSetup orientation="portrait" paperSize="9" fitToHeight="2" fitToWidth="1"/>
  <headerFooter>
    <oddHeader/>
    <oddFooter>&amp;C&amp;8 HSPの働き方ゼミ｜働き方の取扱説明書  Version：1.0</oddFooter>
    <evenHeader/>
    <evenFooter/>
    <firstHeader/>
    <firstFooter/>
  </headerFooter>
  <rowBreaks count="1" manualBreakCount="1">
    <brk id="3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2026-10-07T23:46:42Z</dcterms:created>
  <dcterms:modified xmlns:dcterms="http://purl.org/dc/terms/" xmlns:xsi="http://www.w3.org/2001/XMLSchema-instance" xsi:type="dcterms:W3CDTF">2026-10-07T23:46:42Z</dcterms:modified>
</cp:coreProperties>
</file>